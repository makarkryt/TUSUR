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Информатика\сдано\"/>
    </mc:Choice>
  </mc:AlternateContent>
  <xr:revisionPtr revIDLastSave="0" documentId="13_ncr:1_{473C2565-1E44-4D5B-8E9F-EAB4A62C91E6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Задание №1" sheetId="1" r:id="rId1"/>
    <sheet name="Задание №2" sheetId="2" r:id="rId2"/>
    <sheet name="Задание №3" sheetId="3" r:id="rId3"/>
    <sheet name="Задание №4" sheetId="4" r:id="rId4"/>
    <sheet name="Задание №5" sheetId="5" r:id="rId5"/>
  </sheets>
  <definedNames>
    <definedName name="solver_adj" localSheetId="4" hidden="1">'Задание №5'!$L$4:$M$4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'Задание №5'!$O$4</definedName>
    <definedName name="solver_lhs2" localSheetId="4" hidden="1">'Задание №5'!$O$4</definedName>
    <definedName name="solver_lhs3" localSheetId="4" hidden="1">'Задание №5'!$P$4</definedName>
    <definedName name="solver_lhs4" localSheetId="4" hidden="1">'Задание №5'!$P$4</definedName>
    <definedName name="solver_lhs5" localSheetId="4" hidden="1">'Задание №5'!$P$4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4</definedName>
    <definedName name="solver_nwt" localSheetId="4" hidden="1">1</definedName>
    <definedName name="solver_opt" localSheetId="4" hidden="1">'Задание №5'!$L$7</definedName>
    <definedName name="solver_pre" localSheetId="4" hidden="1">0.000001</definedName>
    <definedName name="solver_rbv" localSheetId="4" hidden="1">1</definedName>
    <definedName name="solver_rel1" localSheetId="4" hidden="1">1</definedName>
    <definedName name="solver_rel2" localSheetId="4" hidden="1">3</definedName>
    <definedName name="solver_rel3" localSheetId="4" hidden="1">1</definedName>
    <definedName name="solver_rel4" localSheetId="4" hidden="1">3</definedName>
    <definedName name="solver_rel5" localSheetId="4" hidden="1">3</definedName>
    <definedName name="solver_rhs1" localSheetId="4" hidden="1">1.2</definedName>
    <definedName name="solver_rhs2" localSheetId="4" hidden="1">1</definedName>
    <definedName name="solver_rhs3" localSheetId="4" hidden="1">0</definedName>
    <definedName name="solver_rhs4" localSheetId="4" hidden="1">-0.4</definedName>
    <definedName name="solver_rhs5" localSheetId="4" hidden="1">-0.4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3</definedName>
    <definedName name="solver_val" localSheetId="4" hidden="1">0</definedName>
    <definedName name="solver_ver" localSheetId="4" hidden="1">3</definedName>
  </definedNames>
  <calcPr calcId="191029" iterateDelta="9.9999999999999998E-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" i="5" l="1"/>
  <c r="O11" i="5"/>
  <c r="M11" i="5"/>
  <c r="L11" i="5"/>
  <c r="L6" i="5"/>
  <c r="P6" i="5"/>
  <c r="O6" i="5"/>
  <c r="M6" i="5"/>
  <c r="P11" i="1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F16" i="5"/>
  <c r="J11" i="1"/>
  <c r="C17" i="1"/>
  <c r="B7" i="1"/>
  <c r="B13" i="1" s="1"/>
  <c r="B16" i="1" s="1"/>
  <c r="B8" i="1"/>
  <c r="B14" i="1" s="1"/>
  <c r="L7" i="5" l="1"/>
  <c r="B10" i="1"/>
  <c r="B17" i="1"/>
  <c r="B11" i="1"/>
  <c r="D4" i="3"/>
  <c r="B5" i="3"/>
  <c r="H7" i="2"/>
  <c r="H8" i="2" s="1"/>
  <c r="H9" i="2" s="1"/>
  <c r="H10" i="2" s="1"/>
  <c r="H11" i="2" s="1"/>
  <c r="I11" i="2" s="1"/>
  <c r="B6" i="2"/>
  <c r="B7" i="2" s="1"/>
  <c r="B8" i="2" s="1"/>
  <c r="B9" i="2" s="1"/>
  <c r="B10" i="2" s="1"/>
  <c r="B11" i="2" s="1"/>
  <c r="H12" i="2" l="1"/>
  <c r="B12" i="2"/>
  <c r="D16" i="1"/>
  <c r="E16" i="1" s="1"/>
  <c r="F16" i="1" s="1"/>
  <c r="G16" i="1" s="1"/>
  <c r="H16" i="1" s="1"/>
  <c r="I16" i="1" s="1"/>
  <c r="J16" i="1" s="1"/>
  <c r="K16" i="1" s="1"/>
  <c r="K17" i="1" s="1"/>
  <c r="I12" i="2" l="1"/>
  <c r="H13" i="2"/>
  <c r="Q10" i="1"/>
  <c r="L16" i="1"/>
  <c r="D17" i="1"/>
  <c r="C10" i="1"/>
  <c r="E17" i="1"/>
  <c r="H14" i="2" l="1"/>
  <c r="I14" i="2" s="1"/>
  <c r="I13" i="2"/>
  <c r="Q11" i="1"/>
  <c r="R10" i="1"/>
  <c r="R11" i="1" s="1"/>
  <c r="D10" i="1"/>
  <c r="C11" i="1"/>
  <c r="L17" i="1"/>
  <c r="F17" i="1"/>
  <c r="B4" i="5"/>
  <c r="B25" i="5"/>
  <c r="C25" i="5"/>
  <c r="D25" i="5"/>
  <c r="B26" i="5"/>
  <c r="C26" i="5"/>
  <c r="D26" i="5"/>
  <c r="B27" i="5"/>
  <c r="C27" i="5"/>
  <c r="D27" i="5"/>
  <c r="B28" i="5"/>
  <c r="C28" i="5"/>
  <c r="D28" i="5"/>
  <c r="D11" i="1" l="1"/>
  <c r="E10" i="1"/>
  <c r="G17" i="1"/>
  <c r="O7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G39" i="4"/>
  <c r="B30" i="4" a="1"/>
  <c r="B30" i="4" s="1"/>
  <c r="P20" i="4"/>
  <c r="L20" i="4"/>
  <c r="H20" i="4"/>
  <c r="H14" i="4"/>
  <c r="B14" i="4" a="1"/>
  <c r="B14" i="4" s="1"/>
  <c r="C5" i="3"/>
  <c r="E11" i="1" l="1"/>
  <c r="F10" i="1"/>
  <c r="H21" i="4"/>
  <c r="P21" i="4"/>
  <c r="L21" i="4"/>
  <c r="C6" i="2"/>
  <c r="C12" i="2"/>
  <c r="C8" i="2"/>
  <c r="C11" i="2"/>
  <c r="C7" i="2"/>
  <c r="C10" i="2"/>
  <c r="I7" i="2"/>
  <c r="C9" i="2"/>
  <c r="H17" i="1"/>
  <c r="E30" i="4"/>
  <c r="D30" i="4"/>
  <c r="C30" i="4"/>
  <c r="B32" i="4" s="1" a="1"/>
  <c r="C16" i="4"/>
  <c r="B16" i="4"/>
  <c r="D15" i="4"/>
  <c r="C14" i="4"/>
  <c r="C15" i="4"/>
  <c r="B15" i="4"/>
  <c r="D14" i="4"/>
  <c r="D16" i="4"/>
  <c r="I8" i="2"/>
  <c r="B34" i="4" l="1" a="1"/>
  <c r="F11" i="1"/>
  <c r="G10" i="1"/>
  <c r="G11" i="1" s="1"/>
  <c r="C18" i="4" a="1"/>
  <c r="C19" i="4" s="1"/>
  <c r="B32" i="4"/>
  <c r="C32" i="4"/>
  <c r="D32" i="4"/>
  <c r="E32" i="4"/>
  <c r="B31" i="4" a="1"/>
  <c r="D5" i="3"/>
  <c r="B6" i="3" s="1"/>
  <c r="I17" i="1"/>
  <c r="I9" i="2"/>
  <c r="E34" i="4" l="1"/>
  <c r="D34" i="4"/>
  <c r="B34" i="4"/>
  <c r="C34" i="4"/>
  <c r="H10" i="1"/>
  <c r="H11" i="1" s="1"/>
  <c r="C18" i="4"/>
  <c r="C20" i="4"/>
  <c r="C31" i="4"/>
  <c r="B31" i="4"/>
  <c r="D31" i="4"/>
  <c r="E31" i="4"/>
  <c r="E5" i="3"/>
  <c r="C6" i="3"/>
  <c r="D6" i="3" s="1"/>
  <c r="J17" i="1"/>
  <c r="I10" i="1"/>
  <c r="I11" i="1" s="1"/>
  <c r="I10" i="2"/>
  <c r="B38" i="4" l="1" a="1"/>
  <c r="E6" i="3"/>
  <c r="C7" i="3"/>
  <c r="B35" i="4" a="1"/>
  <c r="B7" i="3"/>
  <c r="B38" i="4" l="1"/>
  <c r="E38" i="4"/>
  <c r="D38" i="4"/>
  <c r="C38" i="4"/>
  <c r="B35" i="4"/>
  <c r="D35" i="4"/>
  <c r="C35" i="4"/>
  <c r="E35" i="4"/>
  <c r="D7" i="3"/>
  <c r="K10" i="1"/>
  <c r="K11" i="1" s="1"/>
  <c r="B36" i="4" l="1" a="1"/>
  <c r="E36" i="4" s="1"/>
  <c r="B39" i="4" a="1"/>
  <c r="C8" i="3"/>
  <c r="E7" i="3"/>
  <c r="B8" i="3"/>
  <c r="L10" i="1"/>
  <c r="L11" i="1" l="1"/>
  <c r="M10" i="1"/>
  <c r="E39" i="4"/>
  <c r="B39" i="4"/>
  <c r="D39" i="4"/>
  <c r="C39" i="4"/>
  <c r="B36" i="4"/>
  <c r="C36" i="4"/>
  <c r="D36" i="4"/>
  <c r="D8" i="3"/>
  <c r="B9" i="3" s="1"/>
  <c r="B40" i="4" a="1"/>
  <c r="N10" i="1" l="1"/>
  <c r="M11" i="1"/>
  <c r="F39" i="4"/>
  <c r="B40" i="4"/>
  <c r="C40" i="4"/>
  <c r="E40" i="4"/>
  <c r="F38" i="4" s="1"/>
  <c r="D40" i="4"/>
  <c r="C9" i="3"/>
  <c r="D9" i="3" s="1"/>
  <c r="E8" i="3"/>
  <c r="N11" i="1" l="1"/>
  <c r="O10" i="1"/>
  <c r="O11" i="1" s="1"/>
  <c r="C10" i="3"/>
  <c r="E9" i="3"/>
  <c r="B10" i="3"/>
  <c r="D10" i="3" l="1"/>
  <c r="B11" i="3" s="1"/>
  <c r="C11" i="3" l="1"/>
  <c r="D11" i="3" s="1"/>
  <c r="E10" i="3"/>
  <c r="C12" i="3" l="1"/>
  <c r="E11" i="3"/>
  <c r="B12" i="3"/>
  <c r="D12" i="3" l="1"/>
  <c r="B13" i="3" s="1"/>
  <c r="C13" i="3" l="1"/>
  <c r="D13" i="3" s="1"/>
  <c r="E12" i="3"/>
  <c r="C14" i="3" l="1"/>
  <c r="E13" i="3"/>
  <c r="B14" i="3"/>
  <c r="D14" i="3" l="1"/>
  <c r="B15" i="3"/>
  <c r="E14" i="3" l="1"/>
  <c r="C15" i="3"/>
  <c r="D15" i="3" s="1"/>
  <c r="B16" i="3" s="1"/>
  <c r="C16" i="3" l="1"/>
  <c r="D16" i="3" s="1"/>
  <c r="E15" i="3"/>
  <c r="E16" i="3" l="1"/>
  <c r="C17" i="3"/>
  <c r="B17" i="3"/>
  <c r="D17" i="3" l="1"/>
  <c r="C18" i="3" l="1"/>
  <c r="E17" i="3"/>
  <c r="B18" i="3"/>
  <c r="D18" i="3" l="1"/>
  <c r="B19" i="3" s="1"/>
  <c r="E18" i="3" l="1"/>
  <c r="C19" i="3"/>
  <c r="D19" i="3" s="1"/>
  <c r="E19" i="3" s="1"/>
</calcChain>
</file>

<file path=xl/sharedStrings.xml><?xml version="1.0" encoding="utf-8"?>
<sst xmlns="http://schemas.openxmlformats.org/spreadsheetml/2006/main" count="70" uniqueCount="53">
  <si>
    <t>Таблица коэффициентов полинома</t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</si>
  <si>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</si>
  <si>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n-3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</si>
  <si>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n-1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</si>
  <si>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n-2</t>
    </r>
  </si>
  <si>
    <r>
      <t>a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</si>
  <si>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>A =</t>
  </si>
  <si>
    <t>B =</t>
  </si>
  <si>
    <t>x</t>
  </si>
  <si>
    <t>P(x)</t>
  </si>
  <si>
    <t>Решение</t>
  </si>
  <si>
    <t>Ведущий элемент</t>
  </si>
  <si>
    <t>Матрица коэффициентов</t>
  </si>
  <si>
    <t>Правые части</t>
  </si>
  <si>
    <t>x = F(x)</t>
  </si>
  <si>
    <t>Номер шага</t>
  </si>
  <si>
    <t>Очередное приближение</t>
  </si>
  <si>
    <t>Проверка на точность</t>
  </si>
  <si>
    <t>Метод Ньютона</t>
  </si>
  <si>
    <t xml:space="preserve"> </t>
  </si>
  <si>
    <t>Шаг</t>
  </si>
  <si>
    <t>a</t>
  </si>
  <si>
    <t>b</t>
  </si>
  <si>
    <t>c</t>
  </si>
  <si>
    <t>Условие</t>
  </si>
  <si>
    <t>Способ 1 (метод обратной матрицы)</t>
  </si>
  <si>
    <t>x1=</t>
  </si>
  <si>
    <t>x2=</t>
  </si>
  <si>
    <t>x3=</t>
  </si>
  <si>
    <t>Способ 2 (правило Крамера)</t>
  </si>
  <si>
    <r>
      <rPr>
        <sz val="11"/>
        <color theme="1"/>
        <rFont val="Times New Roman"/>
        <family val="1"/>
        <charset val="204"/>
      </rPr>
      <t>∆</t>
    </r>
    <r>
      <rPr>
        <sz val="11"/>
        <color theme="1"/>
        <rFont val="Calibri"/>
        <family val="2"/>
        <charset val="204"/>
      </rPr>
      <t xml:space="preserve"> = </t>
    </r>
  </si>
  <si>
    <r>
      <rPr>
        <sz val="11"/>
        <color theme="1"/>
        <rFont val="Times New Roman"/>
        <family val="1"/>
        <charset val="204"/>
      </rPr>
      <t>∆1</t>
    </r>
    <r>
      <rPr>
        <sz val="11"/>
        <color theme="1"/>
        <rFont val="Calibri"/>
        <family val="2"/>
        <charset val="204"/>
      </rPr>
      <t xml:space="preserve"> = </t>
    </r>
  </si>
  <si>
    <r>
      <rPr>
        <sz val="11"/>
        <color theme="1"/>
        <rFont val="Times New Roman"/>
        <family val="1"/>
        <charset val="204"/>
      </rPr>
      <t>∆2</t>
    </r>
    <r>
      <rPr>
        <sz val="11"/>
        <color theme="1"/>
        <rFont val="Calibri"/>
        <family val="2"/>
        <charset val="204"/>
      </rPr>
      <t xml:space="preserve"> = </t>
    </r>
  </si>
  <si>
    <t>x1 =</t>
  </si>
  <si>
    <t xml:space="preserve">x2 = </t>
  </si>
  <si>
    <t>x3 =</t>
  </si>
  <si>
    <r>
      <rPr>
        <sz val="11"/>
        <color theme="1"/>
        <rFont val="Times New Roman"/>
        <family val="1"/>
        <charset val="204"/>
      </rPr>
      <t>∆3</t>
    </r>
    <r>
      <rPr>
        <sz val="11"/>
        <color theme="1"/>
        <rFont val="Calibri"/>
        <family val="2"/>
        <charset val="204"/>
      </rPr>
      <t xml:space="preserve"> = </t>
    </r>
  </si>
  <si>
    <t>Определитель ∆</t>
  </si>
  <si>
    <t>y</t>
  </si>
  <si>
    <t>Табулирование</t>
  </si>
  <si>
    <t>F1(x)</t>
  </si>
  <si>
    <t>F2(x)</t>
  </si>
  <si>
    <t>F(x)</t>
  </si>
  <si>
    <t>∑F^2(x)</t>
  </si>
  <si>
    <t xml:space="preserve"> -F1(x)</t>
  </si>
  <si>
    <t>Проверка</t>
  </si>
  <si>
    <r>
      <t>y</t>
    </r>
    <r>
      <rPr>
        <sz val="11"/>
        <color theme="1"/>
        <rFont val="Times New Roman"/>
        <family val="1"/>
        <charset val="204"/>
      </rPr>
      <t>↓</t>
    </r>
  </si>
  <si>
    <r>
      <t>x</t>
    </r>
    <r>
      <rPr>
        <sz val="11"/>
        <color theme="1"/>
        <rFont val="Times New Roman"/>
        <family val="1"/>
        <charset val="204"/>
      </rPr>
      <t>→</t>
    </r>
  </si>
  <si>
    <t>Нахождение корней полинома при помощи табулирования. Вариант № 6</t>
  </si>
  <si>
    <t>Нахождение корней нелинейных уравнений с помощью метода итераций. Вариант №6</t>
  </si>
  <si>
    <t>Нахождение корней нелинейных уравнений методом бисекции. Вариант №6</t>
  </si>
  <si>
    <t>Способ 3 (метод исключений Гаусса)</t>
  </si>
  <si>
    <t>Решение уравнения. Вариант №6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</si>
</sst>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1"/>
      <charset val="204"/>
    </font>
    <font>
      <i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7"/>
      <color rgb="FF1F1F1F"/>
      <name val="Courier New"/>
      <family val="3"/>
      <charset val="204"/>
    </font>
    <font>
      <sz val="11"/>
      <color rgb="FF1F1F1F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8">
    <xf numFmtId="0" fontId="0" fillId="0" borderId="0" xfId="0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0" fontId="0" fillId="6" borderId="1" xfId="0" applyFill="1" applyBorder="1" applyAlignment="1">
      <alignment horizontal="right"/>
    </xf>
    <xf numFmtId="0" fontId="0" fillId="0" borderId="0" xfId="0" applyAlignment="1"/>
    <xf numFmtId="0" fontId="0" fillId="0" borderId="0" xfId="0" applyNumberFormat="1"/>
    <xf numFmtId="0" fontId="0" fillId="0" borderId="2" xfId="0" applyBorder="1"/>
    <xf numFmtId="0" fontId="0" fillId="0" borderId="0" xfId="0" applyBorder="1"/>
    <xf numFmtId="0" fontId="0" fillId="7" borderId="1" xfId="0" applyFill="1" applyBorder="1" applyAlignment="1">
      <alignment horizontal="center" vertical="center"/>
    </xf>
    <xf numFmtId="0" fontId="0" fillId="0" borderId="0" xfId="0" applyFill="1" applyBorder="1"/>
    <xf numFmtId="0" fontId="0" fillId="8" borderId="1" xfId="0" applyFill="1" applyBorder="1" applyAlignment="1">
      <alignment horizontal="center"/>
    </xf>
    <xf numFmtId="0" fontId="0" fillId="0" borderId="3" xfId="0" applyFill="1" applyBorder="1"/>
    <xf numFmtId="0" fontId="4" fillId="9" borderId="1" xfId="0" applyFont="1" applyFill="1" applyBorder="1" applyAlignment="1">
      <alignment horizontal="center"/>
    </xf>
    <xf numFmtId="0" fontId="0" fillId="8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0" fontId="0" fillId="0" borderId="4" xfId="0" applyBorder="1"/>
    <xf numFmtId="0" fontId="5" fillId="0" borderId="0" xfId="0" applyFont="1" applyAlignment="1">
      <alignment horizontal="center" vertical="center"/>
    </xf>
    <xf numFmtId="0" fontId="2" fillId="0" borderId="0" xfId="0" applyFont="1"/>
    <xf numFmtId="0" fontId="0" fillId="5" borderId="2" xfId="0" applyFill="1" applyBorder="1"/>
    <xf numFmtId="0" fontId="0" fillId="10" borderId="1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0" borderId="5" xfId="0" applyBorder="1"/>
    <xf numFmtId="0" fontId="0" fillId="10" borderId="5" xfId="0" applyFill="1" applyBorder="1"/>
    <xf numFmtId="0" fontId="0" fillId="13" borderId="1" xfId="0" applyFill="1" applyBorder="1"/>
    <xf numFmtId="0" fontId="0" fillId="14" borderId="1" xfId="0" applyFill="1" applyBorder="1"/>
    <xf numFmtId="0" fontId="0" fillId="0" borderId="1" xfId="0" applyNumberForma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/>
    <xf numFmtId="2" fontId="0" fillId="0" borderId="1" xfId="0" applyNumberFormat="1" applyFill="1" applyBorder="1"/>
    <xf numFmtId="2" fontId="0" fillId="0" borderId="0" xfId="0" applyNumberFormat="1"/>
    <xf numFmtId="0" fontId="0" fillId="9" borderId="1" xfId="0" applyFill="1" applyBorder="1"/>
    <xf numFmtId="0" fontId="0" fillId="15" borderId="1" xfId="0" applyFill="1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7" fillId="0" borderId="0" xfId="0" applyFont="1"/>
    <xf numFmtId="0" fontId="8" fillId="5" borderId="1" xfId="0" applyFont="1" applyFill="1" applyBorder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Наглядное представление решения методом Итераций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№2'!$A$5:$A$12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'Задание №2'!$B$5:$B$12</c:f>
              <c:numCache>
                <c:formatCode>General</c:formatCode>
                <c:ptCount val="8"/>
                <c:pt idx="0">
                  <c:v>0.1</c:v>
                </c:pt>
                <c:pt idx="1">
                  <c:v>0.77564627324851132</c:v>
                </c:pt>
                <c:pt idx="2">
                  <c:v>0.77024937897768464</c:v>
                </c:pt>
                <c:pt idx="3">
                  <c:v>0.76794727117486328</c:v>
                </c:pt>
                <c:pt idx="4">
                  <c:v>0.76696900476011831</c:v>
                </c:pt>
                <c:pt idx="5">
                  <c:v>0.76655397592888486</c:v>
                </c:pt>
                <c:pt idx="6">
                  <c:v>0.76637802306057223</c:v>
                </c:pt>
                <c:pt idx="7">
                  <c:v>0.76630344936640604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E3-4022-A758-802DBE409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64800"/>
        <c:axId val="45165376"/>
      </c:scatterChart>
      <c:valAx>
        <c:axId val="4516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65376"/>
        <c:crosses val="autoZero"/>
        <c:crossBetween val="midCat"/>
      </c:valAx>
      <c:valAx>
        <c:axId val="4516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6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Наглядное представление решения методом Ньютона</a:t>
            </a:r>
            <a:endParaRPr lang="ru-RU">
              <a:effectLst/>
            </a:endParaRPr>
          </a:p>
        </c:rich>
      </c:tx>
      <c:layout>
        <c:manualLayout>
          <c:xMode val="edge"/>
          <c:yMode val="edge"/>
          <c:x val="0.10210491376951987"/>
          <c:y val="2.6984120801038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№2'!$G$6:$G$14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'Задание №2'!$H$6:$H$14</c:f>
              <c:numCache>
                <c:formatCode>General</c:formatCode>
                <c:ptCount val="9"/>
                <c:pt idx="0">
                  <c:v>1</c:v>
                </c:pt>
                <c:pt idx="1">
                  <c:v>0.875</c:v>
                </c:pt>
                <c:pt idx="2">
                  <c:v>0.80600896932129218</c:v>
                </c:pt>
                <c:pt idx="3">
                  <c:v>0.77798553397102144</c:v>
                </c:pt>
                <c:pt idx="4">
                  <c:v>0.76932914386138551</c:v>
                </c:pt>
                <c:pt idx="5">
                  <c:v>0.76702429219502066</c:v>
                </c:pt>
                <c:pt idx="6">
                  <c:v>0.76644168816335834</c:v>
                </c:pt>
                <c:pt idx="7">
                  <c:v>0.76629652736685627</c:v>
                </c:pt>
                <c:pt idx="8">
                  <c:v>0.76626049214483594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C9-43C3-A377-A02128AAE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67104"/>
        <c:axId val="45167680"/>
      </c:scatterChart>
      <c:valAx>
        <c:axId val="4516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67680"/>
        <c:crosses val="autoZero"/>
        <c:crossBetween val="midCat"/>
      </c:valAx>
      <c:valAx>
        <c:axId val="4516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6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Наглядное представление решения методом бисекции</a:t>
            </a:r>
          </a:p>
        </c:rich>
      </c:tx>
      <c:layout>
        <c:manualLayout>
          <c:xMode val="edge"/>
          <c:yMode val="edge"/>
          <c:x val="0.1137717818999437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2.8520778652668416E-2"/>
          <c:y val="0.2527314814814815"/>
          <c:w val="0.92892366579177599"/>
          <c:h val="0.6944444444444444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№3'!$A$4:$A$19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'Задание №3'!$D$4:$D$19</c:f>
              <c:numCache>
                <c:formatCode>General</c:formatCode>
                <c:ptCount val="16"/>
                <c:pt idx="0">
                  <c:v>1.05</c:v>
                </c:pt>
                <c:pt idx="1">
                  <c:v>0.57500000000000007</c:v>
                </c:pt>
                <c:pt idx="2">
                  <c:v>0.8125</c:v>
                </c:pt>
                <c:pt idx="3">
                  <c:v>0.69375000000000009</c:v>
                </c:pt>
                <c:pt idx="4">
                  <c:v>0.75312500000000004</c:v>
                </c:pt>
                <c:pt idx="5">
                  <c:v>0.72343750000000007</c:v>
                </c:pt>
                <c:pt idx="6">
                  <c:v>0.70859375000000013</c:v>
                </c:pt>
                <c:pt idx="7">
                  <c:v>0.70117187500000011</c:v>
                </c:pt>
                <c:pt idx="8">
                  <c:v>0.70488281250000018</c:v>
                </c:pt>
                <c:pt idx="9">
                  <c:v>0.70673828125000016</c:v>
                </c:pt>
                <c:pt idx="10">
                  <c:v>0.70766601562500009</c:v>
                </c:pt>
                <c:pt idx="11">
                  <c:v>0.70720214843750018</c:v>
                </c:pt>
                <c:pt idx="12">
                  <c:v>0.70697021484375022</c:v>
                </c:pt>
                <c:pt idx="13">
                  <c:v>0.7070861816406252</c:v>
                </c:pt>
                <c:pt idx="14">
                  <c:v>0.70714416503906263</c:v>
                </c:pt>
                <c:pt idx="15">
                  <c:v>0.70711517333984397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C5-4F65-95FA-B8B4191BD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29472"/>
        <c:axId val="44730048"/>
      </c:scatterChart>
      <c:valAx>
        <c:axId val="44729472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30048"/>
        <c:crosses val="autoZero"/>
        <c:crossBetween val="midCat"/>
      </c:valAx>
      <c:valAx>
        <c:axId val="44730048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2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Поверхностная</a:t>
            </a:r>
            <a:r>
              <a:rPr lang="ru-RU" baseline="0"/>
              <a:t> диаграмма для задания 5 </a:t>
            </a:r>
            <a:endParaRPr lang="ru-RU"/>
          </a:p>
        </c:rich>
      </c:tx>
      <c:layout>
        <c:manualLayout>
          <c:xMode val="edge"/>
          <c:yMode val="edge"/>
          <c:x val="0.28492546054406748"/>
          <c:y val="2.7777777777777776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solidFill>
            <a:schemeClr val="tx1"/>
          </a:solidFill>
        </a:ln>
        <a:effectLst/>
        <a:sp3d>
          <a:contourClr>
            <a:schemeClr val="tx1"/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9136815791929665E-2"/>
          <c:y val="0.11177153124533554"/>
          <c:w val="0.86978042295892866"/>
          <c:h val="0.72298496757980191"/>
        </c:manualLayout>
      </c:layout>
      <c:surface3DChart>
        <c:wireframe val="0"/>
        <c:ser>
          <c:idx val="0"/>
          <c:order val="0"/>
          <c:tx>
            <c:strRef>
              <c:f>'Задание №5'!$E$16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№5'!$F$16:$Z$16</c:f>
              <c:numCache>
                <c:formatCode>General</c:formatCode>
                <c:ptCount val="21"/>
                <c:pt idx="0">
                  <c:v>109</c:v>
                </c:pt>
                <c:pt idx="1">
                  <c:v>100.24250000000002</c:v>
                </c:pt>
                <c:pt idx="2">
                  <c:v>93.6</c:v>
                </c:pt>
                <c:pt idx="3">
                  <c:v>88.562500000000014</c:v>
                </c:pt>
                <c:pt idx="4">
                  <c:v>84.679999999999993</c:v>
                </c:pt>
                <c:pt idx="5">
                  <c:v>81.5625</c:v>
                </c:pt>
                <c:pt idx="6">
                  <c:v>78.88000000000001</c:v>
                </c:pt>
                <c:pt idx="7">
                  <c:v>76.362499999999997</c:v>
                </c:pt>
                <c:pt idx="8">
                  <c:v>73.8</c:v>
                </c:pt>
                <c:pt idx="9">
                  <c:v>71.04249999999999</c:v>
                </c:pt>
                <c:pt idx="10">
                  <c:v>68</c:v>
                </c:pt>
                <c:pt idx="11">
                  <c:v>64.642499999999998</c:v>
                </c:pt>
                <c:pt idx="12">
                  <c:v>61</c:v>
                </c:pt>
                <c:pt idx="13">
                  <c:v>57.162500000000001</c:v>
                </c:pt>
                <c:pt idx="14">
                  <c:v>53.28</c:v>
                </c:pt>
                <c:pt idx="15">
                  <c:v>49.5625</c:v>
                </c:pt>
                <c:pt idx="16">
                  <c:v>46.279999999999994</c:v>
                </c:pt>
                <c:pt idx="17">
                  <c:v>43.762499999999996</c:v>
                </c:pt>
                <c:pt idx="18">
                  <c:v>42.400000000000013</c:v>
                </c:pt>
                <c:pt idx="19">
                  <c:v>42.642500000000005</c:v>
                </c:pt>
                <c:pt idx="2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5-4C75-90CB-79779481E483}"/>
            </c:ext>
          </c:extLst>
        </c:ser>
        <c:ser>
          <c:idx val="1"/>
          <c:order val="1"/>
          <c:tx>
            <c:strRef>
              <c:f>'Задание №5'!$E$17</c:f>
              <c:strCache>
                <c:ptCount val="1"/>
                <c:pt idx="0">
                  <c:v>-0,9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№5'!$F$17:$Z$17</c:f>
              <c:numCache>
                <c:formatCode>General</c:formatCode>
                <c:ptCount val="21"/>
                <c:pt idx="0">
                  <c:v>93.354400000000012</c:v>
                </c:pt>
                <c:pt idx="1">
                  <c:v>85.598899999999986</c:v>
                </c:pt>
                <c:pt idx="2">
                  <c:v>79.882400000000004</c:v>
                </c:pt>
                <c:pt idx="3">
                  <c:v>75.69489999999999</c:v>
                </c:pt>
                <c:pt idx="4">
                  <c:v>72.586399999999998</c:v>
                </c:pt>
                <c:pt idx="5">
                  <c:v>70.166900000000012</c:v>
                </c:pt>
                <c:pt idx="6">
                  <c:v>68.106399999999994</c:v>
                </c:pt>
                <c:pt idx="7">
                  <c:v>66.134899999999988</c:v>
                </c:pt>
                <c:pt idx="8">
                  <c:v>64.042400000000001</c:v>
                </c:pt>
                <c:pt idx="9">
                  <c:v>61.678899999999999</c:v>
                </c:pt>
                <c:pt idx="10">
                  <c:v>58.9544</c:v>
                </c:pt>
                <c:pt idx="11">
                  <c:v>55.838899999999995</c:v>
                </c:pt>
                <c:pt idx="12">
                  <c:v>52.362399999999994</c:v>
                </c:pt>
                <c:pt idx="13">
                  <c:v>48.614899999999999</c:v>
                </c:pt>
                <c:pt idx="14">
                  <c:v>44.746400000000001</c:v>
                </c:pt>
                <c:pt idx="15">
                  <c:v>40.966899999999995</c:v>
                </c:pt>
                <c:pt idx="16">
                  <c:v>37.546399999999991</c:v>
                </c:pt>
                <c:pt idx="17">
                  <c:v>34.814900000000002</c:v>
                </c:pt>
                <c:pt idx="18">
                  <c:v>33.162399999999998</c:v>
                </c:pt>
                <c:pt idx="19">
                  <c:v>33.038900000000005</c:v>
                </c:pt>
                <c:pt idx="20">
                  <c:v>34.9544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A5-4C75-90CB-79779481E483}"/>
            </c:ext>
          </c:extLst>
        </c:ser>
        <c:ser>
          <c:idx val="2"/>
          <c:order val="2"/>
          <c:tx>
            <c:strRef>
              <c:f>'Задание №5'!$E$18</c:f>
              <c:strCache>
                <c:ptCount val="1"/>
                <c:pt idx="0">
                  <c:v>-0,8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№5'!$F$18:$Z$18</c:f>
              <c:numCache>
                <c:formatCode>General</c:formatCode>
                <c:ptCount val="21"/>
                <c:pt idx="0">
                  <c:v>79.158400000000029</c:v>
                </c:pt>
                <c:pt idx="1">
                  <c:v>72.328900000000004</c:v>
                </c:pt>
                <c:pt idx="2">
                  <c:v>67.470400000000026</c:v>
                </c:pt>
                <c:pt idx="3">
                  <c:v>64.072900000000004</c:v>
                </c:pt>
                <c:pt idx="4">
                  <c:v>61.686400000000013</c:v>
                </c:pt>
                <c:pt idx="5">
                  <c:v>59.920900000000003</c:v>
                </c:pt>
                <c:pt idx="6">
                  <c:v>58.446400000000004</c:v>
                </c:pt>
                <c:pt idx="7">
                  <c:v>56.992899999999999</c:v>
                </c:pt>
                <c:pt idx="8">
                  <c:v>55.350400000000015</c:v>
                </c:pt>
                <c:pt idx="9">
                  <c:v>53.368900000000011</c:v>
                </c:pt>
                <c:pt idx="10">
                  <c:v>50.958400000000012</c:v>
                </c:pt>
                <c:pt idx="11">
                  <c:v>48.08890000000001</c:v>
                </c:pt>
                <c:pt idx="12">
                  <c:v>44.790400000000005</c:v>
                </c:pt>
                <c:pt idx="13">
                  <c:v>41.15290000000001</c:v>
                </c:pt>
                <c:pt idx="14">
                  <c:v>37.326400000000007</c:v>
                </c:pt>
                <c:pt idx="15">
                  <c:v>33.520900000000005</c:v>
                </c:pt>
                <c:pt idx="16">
                  <c:v>30.006400000000003</c:v>
                </c:pt>
                <c:pt idx="17">
                  <c:v>27.11290000000001</c:v>
                </c:pt>
                <c:pt idx="18">
                  <c:v>25.230399999999999</c:v>
                </c:pt>
                <c:pt idx="19">
                  <c:v>24.808900000000008</c:v>
                </c:pt>
                <c:pt idx="20">
                  <c:v>26.358400000000003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A5-4C75-90CB-79779481E483}"/>
            </c:ext>
          </c:extLst>
        </c:ser>
        <c:ser>
          <c:idx val="3"/>
          <c:order val="3"/>
          <c:tx>
            <c:strRef>
              <c:f>'Задание №5'!$E$19</c:f>
              <c:strCache>
                <c:ptCount val="1"/>
                <c:pt idx="0">
                  <c:v>-0,7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№5'!$F$19:$Z$19</c:f>
              <c:numCache>
                <c:formatCode>General</c:formatCode>
                <c:ptCount val="21"/>
                <c:pt idx="0">
                  <c:v>66.330399999999983</c:v>
                </c:pt>
                <c:pt idx="1">
                  <c:v>60.350899999999996</c:v>
                </c:pt>
                <c:pt idx="2">
                  <c:v>56.282400000000003</c:v>
                </c:pt>
                <c:pt idx="3">
                  <c:v>53.614899999999984</c:v>
                </c:pt>
                <c:pt idx="4">
                  <c:v>51.898399999999995</c:v>
                </c:pt>
                <c:pt idx="5">
                  <c:v>50.742899999999992</c:v>
                </c:pt>
                <c:pt idx="6">
                  <c:v>49.81839999999999</c:v>
                </c:pt>
                <c:pt idx="7">
                  <c:v>48.854899999999986</c:v>
                </c:pt>
                <c:pt idx="8">
                  <c:v>47.642400000000002</c:v>
                </c:pt>
                <c:pt idx="9">
                  <c:v>46.030899999999995</c:v>
                </c:pt>
                <c:pt idx="10">
                  <c:v>43.930399999999992</c:v>
                </c:pt>
                <c:pt idx="11">
                  <c:v>41.310899999999997</c:v>
                </c:pt>
                <c:pt idx="12">
                  <c:v>38.20239999999999</c:v>
                </c:pt>
                <c:pt idx="13">
                  <c:v>34.694900000000004</c:v>
                </c:pt>
                <c:pt idx="14">
                  <c:v>30.938399999999998</c:v>
                </c:pt>
                <c:pt idx="15">
                  <c:v>27.142899999999994</c:v>
                </c:pt>
                <c:pt idx="16">
                  <c:v>23.578399999999995</c:v>
                </c:pt>
                <c:pt idx="17">
                  <c:v>20.5749</c:v>
                </c:pt>
                <c:pt idx="18">
                  <c:v>18.52239999999999</c:v>
                </c:pt>
                <c:pt idx="19">
                  <c:v>17.870899999999999</c:v>
                </c:pt>
                <c:pt idx="20">
                  <c:v>19.130399999999995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A5-4C75-90CB-79779481E483}"/>
            </c:ext>
          </c:extLst>
        </c:ser>
        <c:ser>
          <c:idx val="4"/>
          <c:order val="4"/>
          <c:tx>
            <c:strRef>
              <c:f>'Задание №5'!$E$20</c:f>
              <c:strCache>
                <c:ptCount val="1"/>
                <c:pt idx="0">
                  <c:v>-0,6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№5'!$F$20:$Z$20</c:f>
              <c:numCache>
                <c:formatCode>General</c:formatCode>
                <c:ptCount val="21"/>
                <c:pt idx="0">
                  <c:v>54.798400000000001</c:v>
                </c:pt>
                <c:pt idx="1">
                  <c:v>49.5929</c:v>
                </c:pt>
                <c:pt idx="2">
                  <c:v>46.246400000000008</c:v>
                </c:pt>
                <c:pt idx="3">
                  <c:v>44.248899999999992</c:v>
                </c:pt>
                <c:pt idx="4">
                  <c:v>43.150400000000012</c:v>
                </c:pt>
                <c:pt idx="5">
                  <c:v>42.560900000000004</c:v>
                </c:pt>
                <c:pt idx="6">
                  <c:v>42.150399999999998</c:v>
                </c:pt>
                <c:pt idx="7">
                  <c:v>41.648899999999998</c:v>
                </c:pt>
                <c:pt idx="8">
                  <c:v>40.846400000000003</c:v>
                </c:pt>
                <c:pt idx="9">
                  <c:v>39.5929</c:v>
                </c:pt>
                <c:pt idx="10">
                  <c:v>37.798400000000001</c:v>
                </c:pt>
                <c:pt idx="11">
                  <c:v>35.432900000000004</c:v>
                </c:pt>
                <c:pt idx="12">
                  <c:v>32.52640000000001</c:v>
                </c:pt>
                <c:pt idx="13">
                  <c:v>29.168899999999997</c:v>
                </c:pt>
                <c:pt idx="14">
                  <c:v>25.510400000000004</c:v>
                </c:pt>
                <c:pt idx="15">
                  <c:v>21.760899999999999</c:v>
                </c:pt>
                <c:pt idx="16">
                  <c:v>18.1904</c:v>
                </c:pt>
                <c:pt idx="17">
                  <c:v>15.128900000000002</c:v>
                </c:pt>
                <c:pt idx="18">
                  <c:v>12.9664</c:v>
                </c:pt>
                <c:pt idx="19">
                  <c:v>12.152900000000002</c:v>
                </c:pt>
                <c:pt idx="20">
                  <c:v>13.198400000000001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A5-4C75-90CB-79779481E483}"/>
            </c:ext>
          </c:extLst>
        </c:ser>
        <c:ser>
          <c:idx val="5"/>
          <c:order val="5"/>
          <c:tx>
            <c:strRef>
              <c:f>'Задание №5'!$E$21</c:f>
              <c:strCache>
                <c:ptCount val="1"/>
                <c:pt idx="0">
                  <c:v>-0,5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№5'!$F$21:$Z$21</c:f>
              <c:numCache>
                <c:formatCode>General</c:formatCode>
                <c:ptCount val="21"/>
                <c:pt idx="0">
                  <c:v>44.5</c:v>
                </c:pt>
                <c:pt idx="1">
                  <c:v>39.9925</c:v>
                </c:pt>
                <c:pt idx="2">
                  <c:v>37.29999999999999</c:v>
                </c:pt>
                <c:pt idx="3">
                  <c:v>35.912500000000001</c:v>
                </c:pt>
                <c:pt idx="4">
                  <c:v>35.380000000000003</c:v>
                </c:pt>
                <c:pt idx="5">
                  <c:v>35.3125</c:v>
                </c:pt>
                <c:pt idx="6">
                  <c:v>35.379999999999995</c:v>
                </c:pt>
                <c:pt idx="7">
                  <c:v>35.3125</c:v>
                </c:pt>
                <c:pt idx="8">
                  <c:v>34.900000000000006</c:v>
                </c:pt>
                <c:pt idx="9">
                  <c:v>33.992500000000007</c:v>
                </c:pt>
                <c:pt idx="10">
                  <c:v>32.5</c:v>
                </c:pt>
                <c:pt idx="11">
                  <c:v>30.392499999999998</c:v>
                </c:pt>
                <c:pt idx="12">
                  <c:v>27.699999999999996</c:v>
                </c:pt>
                <c:pt idx="13">
                  <c:v>24.512499999999996</c:v>
                </c:pt>
                <c:pt idx="14">
                  <c:v>20.98</c:v>
                </c:pt>
                <c:pt idx="15">
                  <c:v>17.3125</c:v>
                </c:pt>
                <c:pt idx="16">
                  <c:v>13.78</c:v>
                </c:pt>
                <c:pt idx="17">
                  <c:v>10.712500000000002</c:v>
                </c:pt>
                <c:pt idx="18">
                  <c:v>8.5</c:v>
                </c:pt>
                <c:pt idx="19">
                  <c:v>7.592500000000002</c:v>
                </c:pt>
                <c:pt idx="20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A5-4C75-90CB-79779481E483}"/>
            </c:ext>
          </c:extLst>
        </c:ser>
        <c:ser>
          <c:idx val="6"/>
          <c:order val="6"/>
          <c:tx>
            <c:strRef>
              <c:f>'Задание №5'!$E$22</c:f>
              <c:strCache>
                <c:ptCount val="1"/>
                <c:pt idx="0">
                  <c:v>-0,4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№5'!$F$22:$Z$22</c:f>
              <c:numCache>
                <c:formatCode>General</c:formatCode>
                <c:ptCount val="21"/>
                <c:pt idx="0">
                  <c:v>35.382400000000011</c:v>
                </c:pt>
                <c:pt idx="1">
                  <c:v>31.496900000000007</c:v>
                </c:pt>
                <c:pt idx="2">
                  <c:v>29.390400000000003</c:v>
                </c:pt>
                <c:pt idx="3">
                  <c:v>28.552900000000005</c:v>
                </c:pt>
                <c:pt idx="4">
                  <c:v>28.534399999999998</c:v>
                </c:pt>
                <c:pt idx="5">
                  <c:v>28.944900000000004</c:v>
                </c:pt>
                <c:pt idx="6">
                  <c:v>29.454400000000003</c:v>
                </c:pt>
                <c:pt idx="7">
                  <c:v>29.792900000000003</c:v>
                </c:pt>
                <c:pt idx="8">
                  <c:v>29.750399999999999</c:v>
                </c:pt>
                <c:pt idx="9">
                  <c:v>29.1769</c:v>
                </c:pt>
                <c:pt idx="10">
                  <c:v>27.982399999999998</c:v>
                </c:pt>
                <c:pt idx="11">
                  <c:v>26.136900000000001</c:v>
                </c:pt>
                <c:pt idx="12">
                  <c:v>23.670400000000001</c:v>
                </c:pt>
                <c:pt idx="13">
                  <c:v>20.672900000000002</c:v>
                </c:pt>
                <c:pt idx="14">
                  <c:v>17.2944</c:v>
                </c:pt>
                <c:pt idx="15">
                  <c:v>13.744900000000001</c:v>
                </c:pt>
                <c:pt idx="16">
                  <c:v>10.294400000000003</c:v>
                </c:pt>
                <c:pt idx="17">
                  <c:v>7.2729000000000026</c:v>
                </c:pt>
                <c:pt idx="18">
                  <c:v>5.0704000000000002</c:v>
                </c:pt>
                <c:pt idx="19">
                  <c:v>4.1369000000000007</c:v>
                </c:pt>
                <c:pt idx="20">
                  <c:v>4.9824000000000019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A5-4C75-90CB-79779481E483}"/>
            </c:ext>
          </c:extLst>
        </c:ser>
        <c:ser>
          <c:idx val="7"/>
          <c:order val="7"/>
          <c:tx>
            <c:strRef>
              <c:f>'Задание №5'!$E$23</c:f>
              <c:strCache>
                <c:ptCount val="1"/>
                <c:pt idx="0">
                  <c:v>-0,3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№5'!$F$23:$Z$23</c:f>
              <c:numCache>
                <c:formatCode>General</c:formatCode>
                <c:ptCount val="21"/>
                <c:pt idx="0">
                  <c:v>27.402399999999997</c:v>
                </c:pt>
                <c:pt idx="1">
                  <c:v>24.062900000000006</c:v>
                </c:pt>
                <c:pt idx="2">
                  <c:v>22.474400000000003</c:v>
                </c:pt>
                <c:pt idx="3">
                  <c:v>22.126899999999999</c:v>
                </c:pt>
                <c:pt idx="4">
                  <c:v>22.570399999999999</c:v>
                </c:pt>
                <c:pt idx="5">
                  <c:v>23.414899999999999</c:v>
                </c:pt>
                <c:pt idx="6">
                  <c:v>24.330400000000001</c:v>
                </c:pt>
                <c:pt idx="7">
                  <c:v>25.046900000000001</c:v>
                </c:pt>
                <c:pt idx="8">
                  <c:v>25.354399999999998</c:v>
                </c:pt>
                <c:pt idx="9">
                  <c:v>25.102900000000002</c:v>
                </c:pt>
                <c:pt idx="10">
                  <c:v>24.202400000000001</c:v>
                </c:pt>
                <c:pt idx="11">
                  <c:v>22.622900000000001</c:v>
                </c:pt>
                <c:pt idx="12">
                  <c:v>20.394400000000001</c:v>
                </c:pt>
                <c:pt idx="13">
                  <c:v>17.606900000000003</c:v>
                </c:pt>
                <c:pt idx="14">
                  <c:v>14.410399999999997</c:v>
                </c:pt>
                <c:pt idx="15">
                  <c:v>11.014900000000001</c:v>
                </c:pt>
                <c:pt idx="16">
                  <c:v>7.6904000000000021</c:v>
                </c:pt>
                <c:pt idx="17">
                  <c:v>4.7669000000000006</c:v>
                </c:pt>
                <c:pt idx="18">
                  <c:v>2.634399999999999</c:v>
                </c:pt>
                <c:pt idx="19">
                  <c:v>1.7429000000000003</c:v>
                </c:pt>
                <c:pt idx="20">
                  <c:v>2.6023999999999994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A5-4C75-90CB-79779481E483}"/>
            </c:ext>
          </c:extLst>
        </c:ser>
        <c:ser>
          <c:idx val="8"/>
          <c:order val="8"/>
          <c:tx>
            <c:strRef>
              <c:f>'Задание №5'!$E$24</c:f>
              <c:strCache>
                <c:ptCount val="1"/>
                <c:pt idx="0">
                  <c:v>-0,2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№5'!$F$24:$Z$24</c:f>
              <c:numCache>
                <c:formatCode>General</c:formatCode>
                <c:ptCount val="21"/>
                <c:pt idx="0">
                  <c:v>20.526400000000002</c:v>
                </c:pt>
                <c:pt idx="1">
                  <c:v>17.6569</c:v>
                </c:pt>
                <c:pt idx="2">
                  <c:v>16.5184</c:v>
                </c:pt>
                <c:pt idx="3">
                  <c:v>16.600899999999999</c:v>
                </c:pt>
                <c:pt idx="4">
                  <c:v>17.4544</c:v>
                </c:pt>
                <c:pt idx="5">
                  <c:v>18.688900000000004</c:v>
                </c:pt>
                <c:pt idx="6">
                  <c:v>19.974400000000003</c:v>
                </c:pt>
                <c:pt idx="7">
                  <c:v>21.040900000000001</c:v>
                </c:pt>
                <c:pt idx="8">
                  <c:v>21.6784</c:v>
                </c:pt>
                <c:pt idx="9">
                  <c:v>21.736900000000002</c:v>
                </c:pt>
                <c:pt idx="10">
                  <c:v>21.1264</c:v>
                </c:pt>
                <c:pt idx="11">
                  <c:v>19.8169</c:v>
                </c:pt>
                <c:pt idx="12">
                  <c:v>17.8384</c:v>
                </c:pt>
                <c:pt idx="13">
                  <c:v>15.280899999999999</c:v>
                </c:pt>
                <c:pt idx="14">
                  <c:v>12.294400000000001</c:v>
                </c:pt>
                <c:pt idx="15">
                  <c:v>9.0889000000000006</c:v>
                </c:pt>
                <c:pt idx="16">
                  <c:v>5.934400000000001</c:v>
                </c:pt>
                <c:pt idx="17">
                  <c:v>3.1609000000000012</c:v>
                </c:pt>
                <c:pt idx="18">
                  <c:v>1.158399999999999</c:v>
                </c:pt>
                <c:pt idx="19">
                  <c:v>0.37690000000000029</c:v>
                </c:pt>
                <c:pt idx="20">
                  <c:v>1.3264000000000002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A5-4C75-90CB-79779481E483}"/>
            </c:ext>
          </c:extLst>
        </c:ser>
        <c:ser>
          <c:idx val="9"/>
          <c:order val="9"/>
          <c:tx>
            <c:strRef>
              <c:f>'Задание №5'!$E$25</c:f>
              <c:strCache>
                <c:ptCount val="1"/>
                <c:pt idx="0">
                  <c:v>-0,1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№5'!$F$25:$Z$25</c:f>
              <c:numCache>
                <c:formatCode>General</c:formatCode>
                <c:ptCount val="21"/>
                <c:pt idx="0">
                  <c:v>14.730399999999999</c:v>
                </c:pt>
                <c:pt idx="1">
                  <c:v>12.254899999999999</c:v>
                </c:pt>
                <c:pt idx="2">
                  <c:v>11.498400000000002</c:v>
                </c:pt>
                <c:pt idx="3">
                  <c:v>11.950900000000003</c:v>
                </c:pt>
                <c:pt idx="4">
                  <c:v>13.162400000000002</c:v>
                </c:pt>
                <c:pt idx="5">
                  <c:v>14.742900000000001</c:v>
                </c:pt>
                <c:pt idx="6">
                  <c:v>16.362399999999997</c:v>
                </c:pt>
                <c:pt idx="7">
                  <c:v>17.750900000000001</c:v>
                </c:pt>
                <c:pt idx="8">
                  <c:v>18.698399999999999</c:v>
                </c:pt>
                <c:pt idx="9">
                  <c:v>19.0549</c:v>
                </c:pt>
                <c:pt idx="10">
                  <c:v>18.730400000000003</c:v>
                </c:pt>
                <c:pt idx="11">
                  <c:v>17.694900000000001</c:v>
                </c:pt>
                <c:pt idx="12">
                  <c:v>15.978399999999999</c:v>
                </c:pt>
                <c:pt idx="13">
                  <c:v>13.670900000000003</c:v>
                </c:pt>
                <c:pt idx="14">
                  <c:v>10.922399999999998</c:v>
                </c:pt>
                <c:pt idx="15">
                  <c:v>7.9428999999999998</c:v>
                </c:pt>
                <c:pt idx="16">
                  <c:v>5.0024000000000006</c:v>
                </c:pt>
                <c:pt idx="17">
                  <c:v>2.4309000000000012</c:v>
                </c:pt>
                <c:pt idx="18">
                  <c:v>0.61839999999999906</c:v>
                </c:pt>
                <c:pt idx="19">
                  <c:v>1.4900000000000057E-2</c:v>
                </c:pt>
                <c:pt idx="20">
                  <c:v>1.130399999999999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DA5-4C75-90CB-79779481E483}"/>
            </c:ext>
          </c:extLst>
        </c:ser>
        <c:ser>
          <c:idx val="10"/>
          <c:order val="10"/>
          <c:tx>
            <c:strRef>
              <c:f>'Задание №5'!$E$26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№5'!$F$26:$Z$26</c:f>
              <c:numCache>
                <c:formatCode>General</c:formatCode>
                <c:ptCount val="21"/>
                <c:pt idx="0">
                  <c:v>10</c:v>
                </c:pt>
                <c:pt idx="1">
                  <c:v>7.8424999999999994</c:v>
                </c:pt>
                <c:pt idx="2">
                  <c:v>7.3999999999999995</c:v>
                </c:pt>
                <c:pt idx="3">
                  <c:v>8.1625000000000014</c:v>
                </c:pt>
                <c:pt idx="4">
                  <c:v>9.6800000000000015</c:v>
                </c:pt>
                <c:pt idx="5">
                  <c:v>11.5625</c:v>
                </c:pt>
                <c:pt idx="6">
                  <c:v>13.479999999999999</c:v>
                </c:pt>
                <c:pt idx="7">
                  <c:v>15.1625</c:v>
                </c:pt>
                <c:pt idx="8">
                  <c:v>16.399999999999999</c:v>
                </c:pt>
                <c:pt idx="9">
                  <c:v>17.0425</c:v>
                </c:pt>
                <c:pt idx="10">
                  <c:v>17</c:v>
                </c:pt>
                <c:pt idx="11">
                  <c:v>16.2425</c:v>
                </c:pt>
                <c:pt idx="12">
                  <c:v>14.799999999999999</c:v>
                </c:pt>
                <c:pt idx="13">
                  <c:v>12.762499999999999</c:v>
                </c:pt>
                <c:pt idx="14">
                  <c:v>10.279999999999998</c:v>
                </c:pt>
                <c:pt idx="15">
                  <c:v>7.5625</c:v>
                </c:pt>
                <c:pt idx="16">
                  <c:v>4.8800000000000008</c:v>
                </c:pt>
                <c:pt idx="17">
                  <c:v>2.5625000000000009</c:v>
                </c:pt>
                <c:pt idx="18">
                  <c:v>0.99999999999999911</c:v>
                </c:pt>
                <c:pt idx="19">
                  <c:v>0.64250000000000018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A5-4C75-90CB-79779481E483}"/>
            </c:ext>
          </c:extLst>
        </c:ser>
        <c:ser>
          <c:idx val="11"/>
          <c:order val="11"/>
          <c:tx>
            <c:strRef>
              <c:f>'Задание №5'!$E$27</c:f>
              <c:strCache>
                <c:ptCount val="1"/>
                <c:pt idx="0">
                  <c:v>0,1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№5'!$F$27:$Z$27</c:f>
              <c:numCache>
                <c:formatCode>General</c:formatCode>
                <c:ptCount val="21"/>
                <c:pt idx="0">
                  <c:v>6.3303999999999983</c:v>
                </c:pt>
                <c:pt idx="1">
                  <c:v>4.4149000000000003</c:v>
                </c:pt>
                <c:pt idx="2">
                  <c:v>4.218399999999999</c:v>
                </c:pt>
                <c:pt idx="3">
                  <c:v>5.2309000000000001</c:v>
                </c:pt>
                <c:pt idx="4">
                  <c:v>7.0024000000000006</c:v>
                </c:pt>
                <c:pt idx="5">
                  <c:v>9.1428999999999991</c:v>
                </c:pt>
                <c:pt idx="6">
                  <c:v>11.322399999999998</c:v>
                </c:pt>
                <c:pt idx="7">
                  <c:v>13.270900000000003</c:v>
                </c:pt>
                <c:pt idx="8">
                  <c:v>14.7784</c:v>
                </c:pt>
                <c:pt idx="9">
                  <c:v>15.694900000000001</c:v>
                </c:pt>
                <c:pt idx="10">
                  <c:v>15.930400000000001</c:v>
                </c:pt>
                <c:pt idx="11">
                  <c:v>15.4549</c:v>
                </c:pt>
                <c:pt idx="12">
                  <c:v>14.298399999999999</c:v>
                </c:pt>
                <c:pt idx="13">
                  <c:v>12.550900000000002</c:v>
                </c:pt>
                <c:pt idx="14">
                  <c:v>10.362399999999997</c:v>
                </c:pt>
                <c:pt idx="15">
                  <c:v>7.9428999999999998</c:v>
                </c:pt>
                <c:pt idx="16">
                  <c:v>5.5624000000000002</c:v>
                </c:pt>
                <c:pt idx="17">
                  <c:v>3.5509000000000013</c:v>
                </c:pt>
                <c:pt idx="18">
                  <c:v>2.2983999999999996</c:v>
                </c:pt>
                <c:pt idx="19">
                  <c:v>2.2549000000000001</c:v>
                </c:pt>
                <c:pt idx="20">
                  <c:v>3.9303999999999997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DA5-4C75-90CB-79779481E483}"/>
            </c:ext>
          </c:extLst>
        </c:ser>
        <c:ser>
          <c:idx val="12"/>
          <c:order val="12"/>
          <c:tx>
            <c:strRef>
              <c:f>'Задание №5'!$E$28</c:f>
              <c:strCache>
                <c:ptCount val="1"/>
                <c:pt idx="0">
                  <c:v>0,2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№5'!$F$28:$Z$28</c:f>
              <c:numCache>
                <c:formatCode>General</c:formatCode>
                <c:ptCount val="21"/>
                <c:pt idx="0">
                  <c:v>3.7263999999999999</c:v>
                </c:pt>
                <c:pt idx="1">
                  <c:v>1.9768999999999999</c:v>
                </c:pt>
                <c:pt idx="2">
                  <c:v>1.9583999999999988</c:v>
                </c:pt>
                <c:pt idx="3">
                  <c:v>3.1609000000000003</c:v>
                </c:pt>
                <c:pt idx="4">
                  <c:v>5.1344000000000003</c:v>
                </c:pt>
                <c:pt idx="5">
                  <c:v>7.4888999999999992</c:v>
                </c:pt>
                <c:pt idx="6">
                  <c:v>9.894400000000001</c:v>
                </c:pt>
                <c:pt idx="7">
                  <c:v>12.080899999999998</c:v>
                </c:pt>
                <c:pt idx="8">
                  <c:v>13.838399999999998</c:v>
                </c:pt>
                <c:pt idx="9">
                  <c:v>15.016900000000001</c:v>
                </c:pt>
                <c:pt idx="10">
                  <c:v>15.526399999999999</c:v>
                </c:pt>
                <c:pt idx="11">
                  <c:v>15.3369</c:v>
                </c:pt>
                <c:pt idx="12">
                  <c:v>14.478399999999999</c:v>
                </c:pt>
                <c:pt idx="13">
                  <c:v>13.040899999999999</c:v>
                </c:pt>
                <c:pt idx="14">
                  <c:v>11.174400000000002</c:v>
                </c:pt>
                <c:pt idx="15">
                  <c:v>9.0889000000000006</c:v>
                </c:pt>
                <c:pt idx="16">
                  <c:v>7.0544000000000011</c:v>
                </c:pt>
                <c:pt idx="17">
                  <c:v>5.4009</c:v>
                </c:pt>
                <c:pt idx="18">
                  <c:v>4.5183999999999989</c:v>
                </c:pt>
                <c:pt idx="19">
                  <c:v>4.8569000000000013</c:v>
                </c:pt>
                <c:pt idx="20">
                  <c:v>6.9264000000000019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DA5-4C75-90CB-79779481E483}"/>
            </c:ext>
          </c:extLst>
        </c:ser>
        <c:ser>
          <c:idx val="13"/>
          <c:order val="13"/>
          <c:tx>
            <c:strRef>
              <c:f>'Задание №5'!$E$29</c:f>
              <c:strCache>
                <c:ptCount val="1"/>
                <c:pt idx="0">
                  <c:v>0,3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№5'!$F$29:$Z$29</c:f>
              <c:numCache>
                <c:formatCode>General</c:formatCode>
                <c:ptCount val="21"/>
                <c:pt idx="0">
                  <c:v>2.202399999999999</c:v>
                </c:pt>
                <c:pt idx="1">
                  <c:v>0.54290000000000016</c:v>
                </c:pt>
                <c:pt idx="2">
                  <c:v>0.63439999999999896</c:v>
                </c:pt>
                <c:pt idx="3">
                  <c:v>1.9669000000000001</c:v>
                </c:pt>
                <c:pt idx="4">
                  <c:v>4.0904000000000016</c:v>
                </c:pt>
                <c:pt idx="5">
                  <c:v>6.6149000000000013</c:v>
                </c:pt>
                <c:pt idx="6">
                  <c:v>9.2103999999999981</c:v>
                </c:pt>
                <c:pt idx="7">
                  <c:v>11.606900000000001</c:v>
                </c:pt>
                <c:pt idx="8">
                  <c:v>13.5944</c:v>
                </c:pt>
                <c:pt idx="9">
                  <c:v>15.0229</c:v>
                </c:pt>
                <c:pt idx="10">
                  <c:v>15.8024</c:v>
                </c:pt>
                <c:pt idx="11">
                  <c:v>15.902900000000001</c:v>
                </c:pt>
                <c:pt idx="12">
                  <c:v>15.3544</c:v>
                </c:pt>
                <c:pt idx="13">
                  <c:v>14.246900000000002</c:v>
                </c:pt>
                <c:pt idx="14">
                  <c:v>12.730399999999999</c:v>
                </c:pt>
                <c:pt idx="15">
                  <c:v>11.014900000000001</c:v>
                </c:pt>
                <c:pt idx="16">
                  <c:v>9.3704000000000001</c:v>
                </c:pt>
                <c:pt idx="17">
                  <c:v>8.1269000000000009</c:v>
                </c:pt>
                <c:pt idx="18">
                  <c:v>7.6744000000000003</c:v>
                </c:pt>
                <c:pt idx="19">
                  <c:v>8.462900000000003</c:v>
                </c:pt>
                <c:pt idx="20">
                  <c:v>11.002399999999998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DA5-4C75-90CB-79779481E483}"/>
            </c:ext>
          </c:extLst>
        </c:ser>
        <c:ser>
          <c:idx val="14"/>
          <c:order val="14"/>
          <c:tx>
            <c:strRef>
              <c:f>'Задание №5'!$E$30</c:f>
              <c:strCache>
                <c:ptCount val="1"/>
                <c:pt idx="0">
                  <c:v>0,4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№5'!$F$30:$Z$30</c:f>
              <c:numCache>
                <c:formatCode>General</c:formatCode>
                <c:ptCount val="21"/>
                <c:pt idx="0">
                  <c:v>1.7824000000000007</c:v>
                </c:pt>
                <c:pt idx="1">
                  <c:v>0.13690000000000074</c:v>
                </c:pt>
                <c:pt idx="2">
                  <c:v>0.27039999999999964</c:v>
                </c:pt>
                <c:pt idx="3">
                  <c:v>1.6729000000000014</c:v>
                </c:pt>
                <c:pt idx="4">
                  <c:v>3.8944000000000001</c:v>
                </c:pt>
                <c:pt idx="5">
                  <c:v>6.5448999999999993</c:v>
                </c:pt>
                <c:pt idx="6">
                  <c:v>9.2943999999999996</c:v>
                </c:pt>
                <c:pt idx="7">
                  <c:v>11.872900000000001</c:v>
                </c:pt>
                <c:pt idx="8">
                  <c:v>14.070400000000001</c:v>
                </c:pt>
                <c:pt idx="9">
                  <c:v>15.7369</c:v>
                </c:pt>
                <c:pt idx="10">
                  <c:v>16.782399999999999</c:v>
                </c:pt>
                <c:pt idx="11">
                  <c:v>17.176900000000003</c:v>
                </c:pt>
                <c:pt idx="12">
                  <c:v>16.950400000000002</c:v>
                </c:pt>
                <c:pt idx="13">
                  <c:v>16.192900000000002</c:v>
                </c:pt>
                <c:pt idx="14">
                  <c:v>15.054400000000001</c:v>
                </c:pt>
                <c:pt idx="15">
                  <c:v>13.744900000000001</c:v>
                </c:pt>
                <c:pt idx="16">
                  <c:v>12.5344</c:v>
                </c:pt>
                <c:pt idx="17">
                  <c:v>11.752900000000004</c:v>
                </c:pt>
                <c:pt idx="18">
                  <c:v>11.790400000000002</c:v>
                </c:pt>
                <c:pt idx="19">
                  <c:v>13.096900000000005</c:v>
                </c:pt>
                <c:pt idx="20">
                  <c:v>16.182400000000005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A5-4C75-90CB-79779481E483}"/>
            </c:ext>
          </c:extLst>
        </c:ser>
        <c:ser>
          <c:idx val="15"/>
          <c:order val="15"/>
          <c:tx>
            <c:strRef>
              <c:f>'Задание №5'!$E$31</c:f>
              <c:strCache>
                <c:ptCount val="1"/>
                <c:pt idx="0">
                  <c:v>0,5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№5'!$F$31:$Z$31</c:f>
              <c:numCache>
                <c:formatCode>General</c:formatCode>
                <c:ptCount val="21"/>
                <c:pt idx="0">
                  <c:v>2.5</c:v>
                </c:pt>
                <c:pt idx="1">
                  <c:v>0.79250000000000065</c:v>
                </c:pt>
                <c:pt idx="2">
                  <c:v>0.89999999999999947</c:v>
                </c:pt>
                <c:pt idx="3">
                  <c:v>2.3125000000000009</c:v>
                </c:pt>
                <c:pt idx="4">
                  <c:v>4.58</c:v>
                </c:pt>
                <c:pt idx="5">
                  <c:v>7.3125</c:v>
                </c:pt>
                <c:pt idx="6">
                  <c:v>10.18</c:v>
                </c:pt>
                <c:pt idx="7">
                  <c:v>12.912499999999998</c:v>
                </c:pt>
                <c:pt idx="8">
                  <c:v>15.299999999999999</c:v>
                </c:pt>
                <c:pt idx="9">
                  <c:v>17.192500000000003</c:v>
                </c:pt>
                <c:pt idx="10">
                  <c:v>18.5</c:v>
                </c:pt>
                <c:pt idx="11">
                  <c:v>19.192500000000003</c:v>
                </c:pt>
                <c:pt idx="12">
                  <c:v>19.299999999999997</c:v>
                </c:pt>
                <c:pt idx="13">
                  <c:v>18.912499999999994</c:v>
                </c:pt>
                <c:pt idx="14">
                  <c:v>18.179999999999996</c:v>
                </c:pt>
                <c:pt idx="15">
                  <c:v>17.3125</c:v>
                </c:pt>
                <c:pt idx="16">
                  <c:v>16.580000000000002</c:v>
                </c:pt>
                <c:pt idx="17">
                  <c:v>16.312500000000004</c:v>
                </c:pt>
                <c:pt idx="18">
                  <c:v>16.899999999999999</c:v>
                </c:pt>
                <c:pt idx="19">
                  <c:v>18.7925</c:v>
                </c:pt>
                <c:pt idx="20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DA5-4C75-90CB-79779481E483}"/>
            </c:ext>
          </c:extLst>
        </c:ser>
        <c:ser>
          <c:idx val="16"/>
          <c:order val="16"/>
          <c:tx>
            <c:strRef>
              <c:f>'Задание №5'!$E$32</c:f>
              <c:strCache>
                <c:ptCount val="1"/>
                <c:pt idx="0">
                  <c:v>0,6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№5'!$F$32:$Z$32</c:f>
              <c:numCache>
                <c:formatCode>General</c:formatCode>
                <c:ptCount val="21"/>
                <c:pt idx="0">
                  <c:v>4.3983999999999996</c:v>
                </c:pt>
                <c:pt idx="1">
                  <c:v>2.5529000000000019</c:v>
                </c:pt>
                <c:pt idx="2">
                  <c:v>2.5664000000000002</c:v>
                </c:pt>
                <c:pt idx="3">
                  <c:v>3.9289000000000014</c:v>
                </c:pt>
                <c:pt idx="4">
                  <c:v>6.1904000000000012</c:v>
                </c:pt>
                <c:pt idx="5">
                  <c:v>8.9609000000000023</c:v>
                </c:pt>
                <c:pt idx="6">
                  <c:v>11.910400000000003</c:v>
                </c:pt>
                <c:pt idx="7">
                  <c:v>14.768900000000002</c:v>
                </c:pt>
                <c:pt idx="8">
                  <c:v>17.3264</c:v>
                </c:pt>
                <c:pt idx="9">
                  <c:v>19.4329</c:v>
                </c:pt>
                <c:pt idx="10">
                  <c:v>20.998400000000004</c:v>
                </c:pt>
                <c:pt idx="11">
                  <c:v>21.992900000000002</c:v>
                </c:pt>
                <c:pt idx="12">
                  <c:v>22.446400000000004</c:v>
                </c:pt>
                <c:pt idx="13">
                  <c:v>22.448900000000002</c:v>
                </c:pt>
                <c:pt idx="14">
                  <c:v>22.150400000000001</c:v>
                </c:pt>
                <c:pt idx="15">
                  <c:v>21.760899999999999</c:v>
                </c:pt>
                <c:pt idx="16">
                  <c:v>21.550400000000003</c:v>
                </c:pt>
                <c:pt idx="17">
                  <c:v>21.848899999999997</c:v>
                </c:pt>
                <c:pt idx="18">
                  <c:v>23.046400000000006</c:v>
                </c:pt>
                <c:pt idx="19">
                  <c:v>25.5929</c:v>
                </c:pt>
                <c:pt idx="20">
                  <c:v>29.998400000000004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DA5-4C75-90CB-79779481E483}"/>
            </c:ext>
          </c:extLst>
        </c:ser>
        <c:ser>
          <c:idx val="17"/>
          <c:order val="17"/>
          <c:tx>
            <c:strRef>
              <c:f>'Задание №5'!$E$33</c:f>
              <c:strCache>
                <c:ptCount val="1"/>
                <c:pt idx="0">
                  <c:v>0,7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№5'!$F$33:$Z$33</c:f>
              <c:numCache>
                <c:formatCode>General</c:formatCode>
                <c:ptCount val="21"/>
                <c:pt idx="0">
                  <c:v>7.5303999999999967</c:v>
                </c:pt>
                <c:pt idx="1">
                  <c:v>5.4708999999999985</c:v>
                </c:pt>
                <c:pt idx="2">
                  <c:v>5.3223999999999974</c:v>
                </c:pt>
                <c:pt idx="3">
                  <c:v>6.5748999999999986</c:v>
                </c:pt>
                <c:pt idx="4">
                  <c:v>8.7783999999999978</c:v>
                </c:pt>
                <c:pt idx="5">
                  <c:v>11.542899999999996</c:v>
                </c:pt>
                <c:pt idx="6">
                  <c:v>14.538399999999996</c:v>
                </c:pt>
                <c:pt idx="7">
                  <c:v>17.494900000000001</c:v>
                </c:pt>
                <c:pt idx="8">
                  <c:v>20.202399999999994</c:v>
                </c:pt>
                <c:pt idx="9">
                  <c:v>22.510899999999996</c:v>
                </c:pt>
                <c:pt idx="10">
                  <c:v>24.330399999999997</c:v>
                </c:pt>
                <c:pt idx="11">
                  <c:v>25.6309</c:v>
                </c:pt>
                <c:pt idx="12">
                  <c:v>26.442399999999999</c:v>
                </c:pt>
                <c:pt idx="13">
                  <c:v>26.854899999999994</c:v>
                </c:pt>
                <c:pt idx="14">
                  <c:v>27.018399999999993</c:v>
                </c:pt>
                <c:pt idx="15">
                  <c:v>27.142899999999994</c:v>
                </c:pt>
                <c:pt idx="16">
                  <c:v>27.498399999999997</c:v>
                </c:pt>
                <c:pt idx="17">
                  <c:v>28.414899999999989</c:v>
                </c:pt>
                <c:pt idx="18">
                  <c:v>30.282399999999999</c:v>
                </c:pt>
                <c:pt idx="19">
                  <c:v>33.550899999999999</c:v>
                </c:pt>
                <c:pt idx="20">
                  <c:v>38.730399999999996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DA5-4C75-90CB-79779481E483}"/>
            </c:ext>
          </c:extLst>
        </c:ser>
        <c:ser>
          <c:idx val="18"/>
          <c:order val="18"/>
          <c:tx>
            <c:strRef>
              <c:f>'Задание №5'!$E$34</c:f>
              <c:strCache>
                <c:ptCount val="1"/>
                <c:pt idx="0">
                  <c:v>0,8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№5'!$F$34:$Z$34</c:f>
              <c:numCache>
                <c:formatCode>General</c:formatCode>
                <c:ptCount val="21"/>
                <c:pt idx="0">
                  <c:v>11.958400000000005</c:v>
                </c:pt>
                <c:pt idx="1">
                  <c:v>9.6089000000000073</c:v>
                </c:pt>
                <c:pt idx="2">
                  <c:v>9.2304000000000013</c:v>
                </c:pt>
                <c:pt idx="3">
                  <c:v>10.312900000000008</c:v>
                </c:pt>
                <c:pt idx="4">
                  <c:v>12.406400000000001</c:v>
                </c:pt>
                <c:pt idx="5">
                  <c:v>15.120900000000004</c:v>
                </c:pt>
                <c:pt idx="6">
                  <c:v>18.126400000000004</c:v>
                </c:pt>
                <c:pt idx="7">
                  <c:v>21.152900000000006</c:v>
                </c:pt>
                <c:pt idx="8">
                  <c:v>23.990399999999998</c:v>
                </c:pt>
                <c:pt idx="9">
                  <c:v>26.488900000000001</c:v>
                </c:pt>
                <c:pt idx="10">
                  <c:v>28.558400000000002</c:v>
                </c:pt>
                <c:pt idx="11">
                  <c:v>30.168900000000008</c:v>
                </c:pt>
                <c:pt idx="12">
                  <c:v>31.350400000000004</c:v>
                </c:pt>
                <c:pt idx="13">
                  <c:v>32.192900000000002</c:v>
                </c:pt>
                <c:pt idx="14">
                  <c:v>32.846400000000003</c:v>
                </c:pt>
                <c:pt idx="15">
                  <c:v>33.520900000000005</c:v>
                </c:pt>
                <c:pt idx="16">
                  <c:v>34.48640000000001</c:v>
                </c:pt>
                <c:pt idx="17">
                  <c:v>36.072899999999997</c:v>
                </c:pt>
                <c:pt idx="18">
                  <c:v>38.670400000000015</c:v>
                </c:pt>
                <c:pt idx="19">
                  <c:v>42.72890000000001</c:v>
                </c:pt>
                <c:pt idx="20">
                  <c:v>48.758400000000009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DA5-4C75-90CB-79779481E483}"/>
            </c:ext>
          </c:extLst>
        </c:ser>
        <c:ser>
          <c:idx val="19"/>
          <c:order val="19"/>
          <c:tx>
            <c:strRef>
              <c:f>'Задание №5'!$E$35</c:f>
              <c:strCache>
                <c:ptCount val="1"/>
                <c:pt idx="0">
                  <c:v>0,9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№5'!$F$35:$Z$35</c:f>
              <c:numCache>
                <c:formatCode>General</c:formatCode>
                <c:ptCount val="21"/>
                <c:pt idx="0">
                  <c:v>17.7544</c:v>
                </c:pt>
                <c:pt idx="1">
                  <c:v>15.038900000000002</c:v>
                </c:pt>
                <c:pt idx="2">
                  <c:v>14.362399999999994</c:v>
                </c:pt>
                <c:pt idx="3">
                  <c:v>15.214900000000002</c:v>
                </c:pt>
                <c:pt idx="4">
                  <c:v>17.1464</c:v>
                </c:pt>
                <c:pt idx="5">
                  <c:v>19.7669</c:v>
                </c:pt>
                <c:pt idx="6">
                  <c:v>22.746399999999998</c:v>
                </c:pt>
                <c:pt idx="7">
                  <c:v>25.814900000000002</c:v>
                </c:pt>
                <c:pt idx="8">
                  <c:v>28.762399999999992</c:v>
                </c:pt>
                <c:pt idx="9">
                  <c:v>31.438899999999997</c:v>
                </c:pt>
                <c:pt idx="10">
                  <c:v>33.754399999999997</c:v>
                </c:pt>
                <c:pt idx="11">
                  <c:v>35.678899999999999</c:v>
                </c:pt>
                <c:pt idx="12">
                  <c:v>37.242400000000004</c:v>
                </c:pt>
                <c:pt idx="13">
                  <c:v>38.534899999999993</c:v>
                </c:pt>
                <c:pt idx="14">
                  <c:v>39.706399999999995</c:v>
                </c:pt>
                <c:pt idx="15">
                  <c:v>40.966899999999995</c:v>
                </c:pt>
                <c:pt idx="16">
                  <c:v>42.586399999999998</c:v>
                </c:pt>
                <c:pt idx="17">
                  <c:v>44.894899999999993</c:v>
                </c:pt>
                <c:pt idx="18">
                  <c:v>48.28240000000001</c:v>
                </c:pt>
                <c:pt idx="19">
                  <c:v>53.198900000000002</c:v>
                </c:pt>
                <c:pt idx="20">
                  <c:v>60.154400000000017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DA5-4C75-90CB-79779481E483}"/>
            </c:ext>
          </c:extLst>
        </c:ser>
        <c:ser>
          <c:idx val="20"/>
          <c:order val="20"/>
          <c:tx>
            <c:strRef>
              <c:f>'Задание №5'!$E$36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/>
            <a:effectLst/>
            <a:sp3d/>
          </c:spPr>
          <c:cat>
            <c:numRef>
              <c:f>'Задание №5'!$F$15:$Z$15</c:f>
              <c:numCache>
                <c:formatCode>General</c:formatCode>
                <c:ptCount val="2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</c:numCache>
            </c:numRef>
          </c:cat>
          <c:val>
            <c:numRef>
              <c:f>'Задание №5'!$F$36:$Z$36</c:f>
              <c:numCache>
                <c:formatCode>General</c:formatCode>
                <c:ptCount val="21"/>
                <c:pt idx="0">
                  <c:v>25</c:v>
                </c:pt>
                <c:pt idx="1">
                  <c:v>21.842500000000005</c:v>
                </c:pt>
                <c:pt idx="2">
                  <c:v>20.800000000000004</c:v>
                </c:pt>
                <c:pt idx="3">
                  <c:v>21.362499999999997</c:v>
                </c:pt>
                <c:pt idx="4">
                  <c:v>23.08</c:v>
                </c:pt>
                <c:pt idx="5">
                  <c:v>25.5625</c:v>
                </c:pt>
                <c:pt idx="6">
                  <c:v>28.48</c:v>
                </c:pt>
                <c:pt idx="7">
                  <c:v>31.562500000000004</c:v>
                </c:pt>
                <c:pt idx="8">
                  <c:v>34.599999999999994</c:v>
                </c:pt>
                <c:pt idx="9">
                  <c:v>37.442500000000003</c:v>
                </c:pt>
                <c:pt idx="10">
                  <c:v>40</c:v>
                </c:pt>
                <c:pt idx="11">
                  <c:v>42.242500000000007</c:v>
                </c:pt>
                <c:pt idx="12">
                  <c:v>44.20000000000001</c:v>
                </c:pt>
                <c:pt idx="13">
                  <c:v>45.962499999999991</c:v>
                </c:pt>
                <c:pt idx="14">
                  <c:v>47.679999999999993</c:v>
                </c:pt>
                <c:pt idx="15">
                  <c:v>49.5625</c:v>
                </c:pt>
                <c:pt idx="16">
                  <c:v>51.879999999999988</c:v>
                </c:pt>
                <c:pt idx="17">
                  <c:v>54.962500000000006</c:v>
                </c:pt>
                <c:pt idx="18">
                  <c:v>59.2</c:v>
                </c:pt>
                <c:pt idx="19">
                  <c:v>65.042500000000018</c:v>
                </c:pt>
                <c:pt idx="20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DA5-4C75-90CB-79779481E483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8521216"/>
        <c:axId val="44735232"/>
        <c:axId val="47846016"/>
      </c:surface3DChart>
      <c:catAx>
        <c:axId val="4852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35232"/>
        <c:crosses val="autoZero"/>
        <c:auto val="1"/>
        <c:lblAlgn val="ctr"/>
        <c:lblOffset val="100"/>
        <c:noMultiLvlLbl val="0"/>
      </c:catAx>
      <c:valAx>
        <c:axId val="4473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521216"/>
        <c:crosses val="autoZero"/>
        <c:crossBetween val="midCat"/>
      </c:valAx>
      <c:serAx>
        <c:axId val="4784601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35232"/>
        <c:crosses val="autoZero"/>
      </c:ser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207645</xdr:colOff>
      <xdr:row>6</xdr:row>
      <xdr:rowOff>89535</xdr:rowOff>
    </xdr:from>
    <xdr:ext cx="3429000" cy="2550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5396865" y="1202055"/>
              <a:ext cx="3429000" cy="25500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6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ru-RU" sz="1600" b="0" i="1">
                        <a:latin typeface="Cambria Math" panose="02040503050406030204" pitchFamily="18" charset="0"/>
                      </a:rPr>
                      <m:t>−3</m:t>
                    </m:r>
                    <m:sSup>
                      <m:sSup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p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p>
                    </m:sSup>
                    <m:sSup>
                      <m:sSupPr>
                        <m:ctrlP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ru-RU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−4</m:t>
                        </m:r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p>
                        <m:r>
                          <a:rPr lang="en-US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ru-RU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𝑥</m:t>
                    </m:r>
                    <m:r>
                      <a:rPr lang="en-US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−3=0</m:t>
                    </m:r>
                  </m:oMath>
                </m:oMathPara>
              </a14:m>
              <a:endParaRPr lang="ru-RU" sz="16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5396865" y="1202055"/>
              <a:ext cx="3429000" cy="255006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𝑥^4</a:t>
              </a:r>
              <a:r>
                <a:rPr lang="ru-RU" sz="1600" b="0" i="0">
                  <a:latin typeface="Cambria Math" panose="02040503050406030204" pitchFamily="18" charset="0"/>
                </a:rPr>
                <a:t>−3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𝑥^3 〖</a:t>
              </a:r>
              <a:r>
                <a:rPr lang="ru-RU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−4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𝑥〗^2</a:t>
              </a:r>
              <a:r>
                <a:rPr lang="ru-RU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𝑥−3=0</a:t>
              </a:r>
              <a:endParaRPr lang="ru-RU" sz="16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786765</xdr:colOff>
      <xdr:row>0</xdr:row>
      <xdr:rowOff>74295</xdr:rowOff>
    </xdr:from>
    <xdr:ext cx="1748427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6715125" y="74295"/>
              <a:ext cx="1748427" cy="31309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+</m:t>
                    </m:r>
                    <m:func>
                      <m:func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20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</m:e>
                    </m:func>
                    <m:r>
                      <a:rPr lang="en-US" sz="2000" b="0" i="1">
                        <a:latin typeface="Cambria Math" panose="02040503050406030204" pitchFamily="18" charset="0"/>
                      </a:rPr>
                      <m:t>=0,5</m:t>
                    </m:r>
                  </m:oMath>
                </m:oMathPara>
              </a14:m>
              <a:endParaRPr lang="ru-RU" sz="20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6715125" y="74295"/>
              <a:ext cx="1748427" cy="313099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𝑥+ln⁡(𝑥)=0,5</a:t>
              </a:r>
              <a:endParaRPr lang="ru-RU" sz="2000"/>
            </a:p>
          </xdr:txBody>
        </xdr:sp>
      </mc:Fallback>
    </mc:AlternateContent>
    <xdr:clientData/>
  </xdr:oneCellAnchor>
  <xdr:twoCellAnchor>
    <xdr:from>
      <xdr:col>0</xdr:col>
      <xdr:colOff>198120</xdr:colOff>
      <xdr:row>14</xdr:row>
      <xdr:rowOff>72390</xdr:rowOff>
    </xdr:from>
    <xdr:to>
      <xdr:col>4</xdr:col>
      <xdr:colOff>685800</xdr:colOff>
      <xdr:row>29</xdr:row>
      <xdr:rowOff>72390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D52D476-BF3C-4B5C-A483-4643A99AA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1351878</xdr:colOff>
      <xdr:row>15</xdr:row>
      <xdr:rowOff>10982</xdr:rowOff>
    </xdr:from>
    <xdr:to>
      <xdr:col>10</xdr:col>
      <xdr:colOff>787550</xdr:colOff>
      <xdr:row>30</xdr:row>
      <xdr:rowOff>10982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DD9B39B-CFC9-4E00-A301-643DF9300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382905</xdr:colOff>
      <xdr:row>4</xdr:row>
      <xdr:rowOff>112395</xdr:rowOff>
    </xdr:from>
    <xdr:ext cx="2098203" cy="3756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3956685" y="843915"/>
              <a:ext cx="2098203" cy="37568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+</m:t>
                    </m:r>
                    <m:func>
                      <m:funcPr>
                        <m:ctrlPr>
                          <a:rPr lang="en-US" sz="24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24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en-US" sz="2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2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</m:e>
                    </m:func>
                    <m:r>
                      <a:rPr lang="en-US" sz="2400" b="0" i="1">
                        <a:latin typeface="Cambria Math" panose="02040503050406030204" pitchFamily="18" charset="0"/>
                      </a:rPr>
                      <m:t>=0,5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3956685" y="843915"/>
              <a:ext cx="2098203" cy="37568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2400" b="0" i="0">
                  <a:latin typeface="Cambria Math" panose="02040503050406030204" pitchFamily="18" charset="0"/>
                </a:rPr>
                <a:t>𝑥+ln⁡(𝑥)=0,5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258631</xdr:colOff>
      <xdr:row>19</xdr:row>
      <xdr:rowOff>71269</xdr:rowOff>
    </xdr:from>
    <xdr:to>
      <xdr:col>5</xdr:col>
      <xdr:colOff>1206200</xdr:colOff>
      <xdr:row>34</xdr:row>
      <xdr:rowOff>71269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12186</xdr:colOff>
      <xdr:row>0</xdr:row>
      <xdr:rowOff>160020</xdr:rowOff>
    </xdr:from>
    <xdr:ext cx="3397597" cy="8119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621786" y="160020"/>
              <a:ext cx="3397597" cy="811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800" b="0" i="0">
                        <a:latin typeface="Cambria Math" panose="02040503050406030204" pitchFamily="18" charset="0"/>
                      </a:rPr>
                      <m:t>0,21</m:t>
                    </m:r>
                    <m:r>
                      <m:rPr>
                        <m:sty m:val="p"/>
                      </m:rPr>
                      <a:rPr lang="en-US" sz="18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n-US" sz="1800" b="0" i="0">
                        <a:latin typeface="Cambria Math" panose="02040503050406030204" pitchFamily="18" charset="0"/>
                      </a:rPr>
                      <m:t>1 </m:t>
                    </m:r>
                    <m:r>
                      <m:rPr>
                        <m:nor/>
                      </m:rPr>
                      <a:rPr lang="en-US" sz="1800" b="0" i="0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800" b="0" i="0">
                        <a:latin typeface="Cambria Math" panose="02040503050406030204" pitchFamily="18" charset="0"/>
                      </a:rPr>
                      <m:t> 0,18</m:t>
                    </m:r>
                    <m:r>
                      <m:rPr>
                        <m:sty m:val="p"/>
                      </m:rPr>
                      <a:rPr lang="en-US" sz="18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n-US" sz="1800" b="0" i="0">
                        <a:latin typeface="Cambria Math" panose="02040503050406030204" pitchFamily="18" charset="0"/>
                      </a:rPr>
                      <m:t>2+0,75</m:t>
                    </m:r>
                    <m:r>
                      <m:rPr>
                        <m:sty m:val="p"/>
                      </m:rPr>
                      <a:rPr lang="en-US" sz="1800" b="0" i="0">
                        <a:latin typeface="Cambria Math" panose="02040503050406030204" pitchFamily="18" charset="0"/>
                      </a:rPr>
                      <m:t>x</m:t>
                    </m:r>
                    <m:r>
                      <a:rPr lang="en-US" sz="1800" b="0" i="0">
                        <a:latin typeface="Cambria Math" panose="02040503050406030204" pitchFamily="18" charset="0"/>
                      </a:rPr>
                      <m:t>3=0,11</m:t>
                    </m:r>
                  </m:oMath>
                </m:oMathPara>
              </a14:m>
              <a:endParaRPr lang="en-US" sz="1800" b="0" i="0">
                <a:latin typeface="Times New Roman" panose="02020603050405020304" pitchFamily="18" charset="0"/>
                <a:ea typeface="Cambria" panose="02040503050406030204" pitchFamily="18" charset="0"/>
                <a:cs typeface="Times New Roman" panose="02020603050405020304" pitchFamily="18" charset="0"/>
              </a:endParaRPr>
            </a:p>
            <a:p>
              <a:pPr algn="l"/>
              <a:r>
                <a:rPr lang="en-US" sz="1800" i="0">
                  <a:latin typeface="Times New Roman" panose="02020603050405020304" pitchFamily="18" charset="0"/>
                  <a:ea typeface="Cambria" panose="02040503050406030204" pitchFamily="18" charset="0"/>
                  <a:cs typeface="Times New Roman" panose="02020603050405020304" pitchFamily="18" charset="0"/>
                </a:rPr>
                <a:t> </a:t>
              </a:r>
              <a:r>
                <a:rPr lang="en-US" sz="1800" i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0,13x1</a:t>
              </a:r>
              <a:r>
                <a:rPr lang="en-US" sz="1800" i="0" baseline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- 0,75x2 - 0,11x3 = 2,00</a:t>
              </a:r>
            </a:p>
            <a:p>
              <a:pPr algn="l"/>
              <a:r>
                <a:rPr lang="en-US" sz="1800" i="0" baseline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3,01x1 - 0,33x2 + 0,11x3 = 0,13</a:t>
              </a:r>
              <a:endParaRPr lang="ru-RU" sz="1800" i="0">
                <a:latin typeface="Cambria Math" panose="02040503050406030204" pitchFamily="18" charset="0"/>
                <a:ea typeface="Cambria Math" panose="02040503050406030204" pitchFamily="18" charset="0"/>
                <a:cs typeface="Times New Roman" panose="02020603050405020304" pitchFamily="18" charset="0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621786" y="160020"/>
              <a:ext cx="3397597" cy="8119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algn="l"/>
              <a:r>
                <a:rPr lang="en-US" sz="1800" b="0" i="0">
                  <a:latin typeface="Cambria Math" panose="02040503050406030204" pitchFamily="18" charset="0"/>
                </a:rPr>
                <a:t>0,21x1 "-" 0,18x2+0,75x3=0,11</a:t>
              </a:r>
              <a:endParaRPr lang="en-US" sz="1800" b="0" i="0">
                <a:latin typeface="Times New Roman" panose="02020603050405020304" pitchFamily="18" charset="0"/>
                <a:ea typeface="Cambria" panose="02040503050406030204" pitchFamily="18" charset="0"/>
                <a:cs typeface="Times New Roman" panose="02020603050405020304" pitchFamily="18" charset="0"/>
              </a:endParaRPr>
            </a:p>
            <a:p>
              <a:pPr algn="l"/>
              <a:r>
                <a:rPr lang="en-US" sz="1800" i="0">
                  <a:latin typeface="Times New Roman" panose="02020603050405020304" pitchFamily="18" charset="0"/>
                  <a:ea typeface="Cambria" panose="02040503050406030204" pitchFamily="18" charset="0"/>
                  <a:cs typeface="Times New Roman" panose="02020603050405020304" pitchFamily="18" charset="0"/>
                </a:rPr>
                <a:t> </a:t>
              </a:r>
              <a:r>
                <a:rPr lang="en-US" sz="1800" i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0,13x1</a:t>
              </a:r>
              <a:r>
                <a:rPr lang="en-US" sz="1800" i="0" baseline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 - 0,75x2 - 0,11x3 = 2,00</a:t>
              </a:r>
            </a:p>
            <a:p>
              <a:pPr algn="l"/>
              <a:r>
                <a:rPr lang="en-US" sz="1800" i="0" baseline="0">
                  <a:latin typeface="Cambria Math" panose="02040503050406030204" pitchFamily="18" charset="0"/>
                  <a:ea typeface="Cambria Math" panose="02040503050406030204" pitchFamily="18" charset="0"/>
                  <a:cs typeface="Times New Roman" panose="02020603050405020304" pitchFamily="18" charset="0"/>
                </a:rPr>
                <a:t>3,01x1 - 0,33x2 + 0,11x3 = 0,13</a:t>
              </a:r>
              <a:endParaRPr lang="ru-RU" sz="1800" i="0">
                <a:latin typeface="Cambria Math" panose="02040503050406030204" pitchFamily="18" charset="0"/>
                <a:ea typeface="Cambria Math" panose="020405030504060302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480060</xdr:colOff>
      <xdr:row>1</xdr:row>
      <xdr:rowOff>112395</xdr:rowOff>
    </xdr:from>
    <xdr:ext cx="1616276" cy="6178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3599778" y="291689"/>
              <a:ext cx="1616276" cy="6178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8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m>
                          <m:mPr>
                            <m:plcHide m:val="on"/>
                            <m:mcs>
                              <m:mc>
                                <m:mcPr>
                                  <m:count m:val="1"/>
                                  <m:mcJc m:val="center"/>
                                </m:mcPr>
                              </m:mc>
                            </m:mcs>
                            <m:ctrlPr>
                              <a:rPr lang="ru-RU" sz="1800" i="1">
                                <a:latin typeface="Cambria Math" panose="02040503050406030204" pitchFamily="18" charset="0"/>
                              </a:rPr>
                            </m:ctrlPr>
                          </m:mPr>
                          <m:mr>
                            <m:e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5</m:t>
                              </m:r>
                              <m:sSup>
                                <m:sSupPr>
                                  <m:ctrlPr>
                                    <a:rPr lang="ru-RU" sz="1800" i="1">
                                      <a:latin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a:rPr lang="ru-RU" sz="1800" i="1">
                                      <a:latin typeface="Cambria Math" panose="02040503050406030204" pitchFamily="18" charset="0"/>
                                    </a:rPr>
                                    <m:t>𝑥</m:t>
                                  </m:r>
                                </m:e>
                                <m:sup>
                                  <m:r>
                                    <a:rPr lang="ru-RU" sz="1800" i="1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p>
                              </m:sSup>
                              <m:r>
                                <a:rPr lang="ru-RU" sz="1800" i="1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  <m:sSup>
                                <m:sSupPr>
                                  <m:ctrlPr>
                                    <a:rPr lang="ru-RU" sz="1800" i="1">
                                      <a:latin typeface="Cambria Math" panose="02040503050406030204" pitchFamily="18" charset="0"/>
                                    </a:rPr>
                                  </m:ctrlPr>
                                </m:sSupPr>
                                <m:e>
                                  <m:r>
                                    <a:rPr lang="ru-RU" sz="1800" i="1">
                                      <a:latin typeface="Cambria Math" panose="02040503050406030204" pitchFamily="18" charset="0"/>
                                    </a:rPr>
                                    <m:t>𝑦</m:t>
                                  </m:r>
                                </m:e>
                                <m:sup>
                                  <m:r>
                                    <a:rPr lang="ru-RU" sz="1800" i="1">
                                      <a:latin typeface="Cambria Math" panose="02040503050406030204" pitchFamily="18" charset="0"/>
                                    </a:rPr>
                                    <m:t>2</m:t>
                                  </m:r>
                                </m:sup>
                              </m:sSup>
                              <m:r>
                                <a:rPr lang="ru-RU" sz="1800" i="1">
                                  <a:latin typeface="Cambria Math" panose="02040503050406030204" pitchFamily="18" charset="0"/>
                                </a:rPr>
                                <m:t>=</m:t>
                              </m:r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4</m:t>
                              </m:r>
                            </m:e>
                          </m:mr>
                          <m:mr>
                            <m:e>
                              <m:r>
                                <a:rPr lang="en-US" sz="1800" b="0" i="1">
                                  <a:latin typeface="Cambria Math" panose="02040503050406030204" pitchFamily="18" charset="0"/>
                                </a:rPr>
                                <m:t>2</m:t>
                              </m:r>
                              <m:r>
                                <a:rPr lang="ru-RU" sz="1800" i="1"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  <m:r>
                                <a:rPr lang="ru-RU" sz="1800" i="1">
                                  <a:latin typeface="Cambria Math" panose="02040503050406030204" pitchFamily="18" charset="0"/>
                                </a:rPr>
                                <m:t>+7</m:t>
                              </m:r>
                              <m:r>
                                <a:rPr lang="ru-RU" sz="1800" i="1">
                                  <a:latin typeface="Cambria Math" panose="02040503050406030204" pitchFamily="18" charset="0"/>
                                </a:rPr>
                                <m:t>𝑦</m:t>
                              </m:r>
                              <m:r>
                                <a:rPr lang="ru-RU" sz="1800" i="1">
                                  <a:latin typeface="Cambria Math" panose="02040503050406030204" pitchFamily="18" charset="0"/>
                                </a:rPr>
                                <m:t>=1</m:t>
                              </m:r>
                            </m:e>
                          </m:mr>
                        </m:m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3599778" y="291689"/>
              <a:ext cx="1616276" cy="6178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800" i="0">
                  <a:latin typeface="Cambria Math" panose="02040503050406030204" pitchFamily="18" charset="0"/>
                </a:rPr>
                <a:t>{■(</a:t>
              </a:r>
              <a:r>
                <a:rPr lang="en-US" sz="1800" b="0" i="0">
                  <a:latin typeface="Cambria Math" panose="02040503050406030204" pitchFamily="18" charset="0"/>
                </a:rPr>
                <a:t>5</a:t>
              </a:r>
              <a:r>
                <a:rPr lang="ru-RU" sz="1800" i="0">
                  <a:latin typeface="Cambria Math" panose="02040503050406030204" pitchFamily="18" charset="0"/>
                </a:rPr>
                <a:t>𝑥^2+</a:t>
              </a:r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ru-RU" sz="1800" i="0">
                  <a:latin typeface="Cambria Math" panose="02040503050406030204" pitchFamily="18" charset="0"/>
                </a:rPr>
                <a:t>𝑦^2=</a:t>
              </a:r>
              <a:r>
                <a:rPr lang="en-US" sz="1800" b="0" i="0">
                  <a:latin typeface="Cambria Math" panose="02040503050406030204" pitchFamily="18" charset="0"/>
                </a:rPr>
                <a:t>4</a:t>
              </a:r>
              <a:r>
                <a:rPr lang="ru-RU" sz="1800" b="0" i="0">
                  <a:latin typeface="Cambria Math" panose="02040503050406030204" pitchFamily="18" charset="0"/>
                </a:rPr>
                <a:t>@</a:t>
              </a:r>
              <a:r>
                <a:rPr lang="en-US" sz="1800" b="0" i="0">
                  <a:latin typeface="Cambria Math" panose="02040503050406030204" pitchFamily="18" charset="0"/>
                </a:rPr>
                <a:t>2</a:t>
              </a:r>
              <a:r>
                <a:rPr lang="ru-RU" sz="1800" i="0">
                  <a:latin typeface="Cambria Math" panose="02040503050406030204" pitchFamily="18" charset="0"/>
                </a:rPr>
                <a:t>𝑥+</a:t>
              </a:r>
              <a:r>
                <a:rPr lang="en-US" sz="1800" b="0" i="0">
                  <a:latin typeface="Cambria Math" panose="02040503050406030204" pitchFamily="18" charset="0"/>
                </a:rPr>
                <a:t>7</a:t>
              </a:r>
              <a:r>
                <a:rPr lang="ru-RU" sz="1800" i="0">
                  <a:latin typeface="Cambria Math" panose="02040503050406030204" pitchFamily="18" charset="0"/>
                </a:rPr>
                <a:t>𝑦=</a:t>
              </a:r>
              <a:r>
                <a:rPr lang="en-US" sz="1800" b="0" i="0">
                  <a:latin typeface="Cambria Math" panose="02040503050406030204" pitchFamily="18" charset="0"/>
                </a:rPr>
                <a:t>1</a:t>
              </a:r>
              <a:r>
                <a:rPr lang="ru-RU" sz="1800" b="0" i="0">
                  <a:latin typeface="Cambria Math" panose="02040503050406030204" pitchFamily="18" charset="0"/>
                </a:rPr>
                <a:t>)┤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3</xdr:col>
      <xdr:colOff>556260</xdr:colOff>
      <xdr:row>37</xdr:row>
      <xdr:rowOff>7620</xdr:rowOff>
    </xdr:from>
    <xdr:to>
      <xdr:col>13</xdr:col>
      <xdr:colOff>510540</xdr:colOff>
      <xdr:row>60</xdr:row>
      <xdr:rowOff>144780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J10" sqref="J10"/>
    </sheetView>
  </sheetViews>
  <sheetFormatPr defaultRowHeight="14.4" x14ac:dyDescent="0.3"/>
  <cols>
    <col min="1" max="1" width="19.44140625" customWidth="1"/>
    <col min="2" max="2" width="20.6640625" customWidth="1"/>
  </cols>
  <sheetData>
    <row r="1" spans="1:18" x14ac:dyDescent="0.3">
      <c r="A1" s="47" t="s">
        <v>48</v>
      </c>
      <c r="B1" s="47"/>
      <c r="C1" s="47"/>
      <c r="D1" s="47"/>
      <c r="E1" s="47"/>
    </row>
    <row r="3" spans="1:18" x14ac:dyDescent="0.3">
      <c r="A3" s="44" t="s">
        <v>0</v>
      </c>
      <c r="B3" s="45"/>
      <c r="C3" s="45"/>
      <c r="D3" s="45"/>
      <c r="E3" s="46"/>
    </row>
    <row r="4" spans="1:18" ht="15.6" x14ac:dyDescent="0.3">
      <c r="A4" s="2" t="s">
        <v>1</v>
      </c>
      <c r="B4" s="2" t="s">
        <v>3</v>
      </c>
      <c r="C4" s="2" t="s">
        <v>4</v>
      </c>
      <c r="D4" s="2" t="s">
        <v>2</v>
      </c>
      <c r="E4" s="2" t="s">
        <v>5</v>
      </c>
    </row>
    <row r="5" spans="1:18" x14ac:dyDescent="0.3">
      <c r="A5" s="1">
        <v>1</v>
      </c>
      <c r="B5" s="1">
        <v>-3</v>
      </c>
      <c r="C5" s="1">
        <v>-4</v>
      </c>
      <c r="D5" s="1">
        <v>-1</v>
      </c>
      <c r="E5" s="1">
        <v>-3</v>
      </c>
    </row>
    <row r="7" spans="1:18" x14ac:dyDescent="0.3">
      <c r="A7" s="8" t="s">
        <v>6</v>
      </c>
      <c r="B7" s="5">
        <f>1/(1+ABS(MAX(ABS(A5),ABS(B5),ABS(C5),ABS(D5)))/ABS(E5))</f>
        <v>0.4285714285714286</v>
      </c>
    </row>
    <row r="8" spans="1:18" x14ac:dyDescent="0.3">
      <c r="A8" s="8" t="s">
        <v>7</v>
      </c>
      <c r="B8" s="5">
        <f>1+ (MAX(ABS(B5),ABS(C5),ABS(D5),ABS(E5)))/ABS(A5)</f>
        <v>5</v>
      </c>
    </row>
    <row r="10" spans="1:18" x14ac:dyDescent="0.3">
      <c r="A10" s="4" t="s">
        <v>8</v>
      </c>
      <c r="B10">
        <f>B7</f>
        <v>0.4285714285714286</v>
      </c>
      <c r="C10" s="6">
        <f>B10+($B$8-$B$7)/10</f>
        <v>0.88571428571428568</v>
      </c>
      <c r="D10" s="6">
        <f t="shared" ref="D10:G10" si="0">C10+($B$8-$B$7)/10</f>
        <v>1.3428571428571427</v>
      </c>
      <c r="E10" s="6">
        <f t="shared" si="0"/>
        <v>1.7999999999999998</v>
      </c>
      <c r="F10" s="6">
        <f t="shared" si="0"/>
        <v>2.2571428571428571</v>
      </c>
      <c r="G10" s="6">
        <f t="shared" si="0"/>
        <v>2.7142857142857144</v>
      </c>
      <c r="H10" s="5">
        <f t="shared" ref="H10:L10" si="1">G10+($B$8-$B$7)/10</f>
        <v>3.1714285714285717</v>
      </c>
      <c r="I10" s="5">
        <f t="shared" si="1"/>
        <v>3.628571428571429</v>
      </c>
      <c r="J10" s="18">
        <v>4.0947596457524105</v>
      </c>
      <c r="K10" s="5">
        <f t="shared" si="1"/>
        <v>4.5519025028952678</v>
      </c>
      <c r="L10" s="5">
        <f t="shared" si="1"/>
        <v>5.0090453600381251</v>
      </c>
      <c r="M10" s="5">
        <f t="shared" ref="M10" si="2">L10+($B$8-$B$7)/10</f>
        <v>5.4661882171809824</v>
      </c>
      <c r="N10" s="5">
        <f t="shared" ref="N10" si="3">M10+($B$8-$B$7)/10</f>
        <v>5.9233310743238397</v>
      </c>
      <c r="O10" s="5">
        <f t="shared" ref="O10" si="4">N10+($B$8-$B$7)/10</f>
        <v>6.3804739314666969</v>
      </c>
      <c r="P10" s="5">
        <v>6.8011678299077012</v>
      </c>
      <c r="Q10" s="5">
        <f t="shared" ref="Q10" si="5">P10+($B$8-$B$7)/10</f>
        <v>7.2583106870505585</v>
      </c>
      <c r="R10" s="5">
        <f t="shared" ref="R10" si="6">Q10+($B$8-$B$7)/10</f>
        <v>7.7154535441934158</v>
      </c>
    </row>
    <row r="11" spans="1:18" x14ac:dyDescent="0.3">
      <c r="A11" s="4" t="s">
        <v>9</v>
      </c>
      <c r="B11" s="7">
        <f>B10^4-3*B10^3-4*B10^2-B10-4</f>
        <v>-5.3656809662640566</v>
      </c>
      <c r="C11" s="7">
        <f>C10^4-3*C10^3-4*C10^2-C10-4</f>
        <v>-9.4927506872136611</v>
      </c>
      <c r="D11" s="7">
        <f t="shared" ref="D11:L11" si="7">D10^4-3*D10^3-4*D10^2-D10-4</f>
        <v>-16.568735693461058</v>
      </c>
      <c r="E11" s="7">
        <f t="shared" si="7"/>
        <v>-25.758399999999998</v>
      </c>
      <c r="F11" s="7">
        <f t="shared" si="7"/>
        <v>-35.178368346522277</v>
      </c>
      <c r="G11" s="7">
        <f t="shared" si="7"/>
        <v>-41.897126197417741</v>
      </c>
      <c r="H11" s="7">
        <f t="shared" si="7"/>
        <v>-41.935019741774248</v>
      </c>
      <c r="I11" s="7">
        <f t="shared" si="7"/>
        <v>-30.264255893377747</v>
      </c>
      <c r="J11" s="42">
        <f>$J10^4-3*$J10^3-4*$J10^2-$J10-4</f>
        <v>2.2204460492503131E-14</v>
      </c>
      <c r="K11" s="7">
        <f t="shared" si="7"/>
        <v>54.935871056377003</v>
      </c>
      <c r="L11" s="7">
        <f t="shared" si="7"/>
        <v>143.12489050930398</v>
      </c>
      <c r="M11" s="7">
        <f t="shared" ref="M11:R11" si="8">M10^4-3*M10^3-4*M10^2-M10-4</f>
        <v>273.80814778989259</v>
      </c>
      <c r="N11" s="7">
        <f t="shared" si="8"/>
        <v>457.27487160455604</v>
      </c>
      <c r="O11" s="7">
        <f t="shared" si="8"/>
        <v>704.86242993500969</v>
      </c>
      <c r="P11" s="7">
        <f t="shared" si="8"/>
        <v>1000.0000000000006</v>
      </c>
      <c r="Q11" s="7">
        <f t="shared" si="8"/>
        <v>1406.3453246478248</v>
      </c>
      <c r="R11" s="7">
        <f t="shared" si="8"/>
        <v>1915.9193067033968</v>
      </c>
    </row>
    <row r="13" spans="1:18" x14ac:dyDescent="0.3">
      <c r="A13" s="8" t="s">
        <v>6</v>
      </c>
      <c r="B13" s="5">
        <f>-B7</f>
        <v>-0.4285714285714286</v>
      </c>
    </row>
    <row r="14" spans="1:18" x14ac:dyDescent="0.3">
      <c r="A14" s="8" t="s">
        <v>7</v>
      </c>
      <c r="B14" s="5">
        <f>-B8</f>
        <v>-5</v>
      </c>
    </row>
    <row r="16" spans="1:18" x14ac:dyDescent="0.3">
      <c r="A16" s="4" t="s">
        <v>8</v>
      </c>
      <c r="B16" s="5">
        <f>B13</f>
        <v>-0.4285714285714286</v>
      </c>
      <c r="C16" s="18">
        <v>-1.2258968501842906</v>
      </c>
      <c r="D16" s="5">
        <f t="shared" ref="D16:L16" si="9">C16-($B$13-$B$14)/10</f>
        <v>-1.6830397073271477</v>
      </c>
      <c r="E16" s="5">
        <f t="shared" si="9"/>
        <v>-2.1401825644700048</v>
      </c>
      <c r="F16" s="5">
        <f t="shared" si="9"/>
        <v>-2.5973254216128621</v>
      </c>
      <c r="G16" s="5">
        <f t="shared" si="9"/>
        <v>-3.0544682787557194</v>
      </c>
      <c r="H16" s="5">
        <f t="shared" si="9"/>
        <v>-3.5116111358985767</v>
      </c>
      <c r="I16" s="5">
        <f t="shared" si="9"/>
        <v>-3.9687539930414339</v>
      </c>
      <c r="J16" s="5">
        <f t="shared" si="9"/>
        <v>-4.4258968501842908</v>
      </c>
      <c r="K16" s="5">
        <f t="shared" si="9"/>
        <v>-4.8830397073271481</v>
      </c>
      <c r="L16" s="5">
        <f t="shared" si="9"/>
        <v>-5.3401825644700054</v>
      </c>
    </row>
    <row r="17" spans="1:12" x14ac:dyDescent="0.3">
      <c r="A17" s="4" t="s">
        <v>9</v>
      </c>
      <c r="B17" s="5">
        <f>B16^4-3*B16^3-4*B16^2-B16-3</f>
        <v>-3.0362349021241148</v>
      </c>
      <c r="C17" s="42">
        <f>$C16^4-3*$C16^3-4*$C16^2-$C16-3</f>
        <v>0</v>
      </c>
      <c r="D17" s="5">
        <f t="shared" ref="D17:L17" si="10">D16^4-3*D16^3-4*D16^2-D16-3</f>
        <v>9.6785494153324247</v>
      </c>
      <c r="E17" s="5">
        <f t="shared" si="10"/>
        <v>31.207108073903314</v>
      </c>
      <c r="F17" s="5">
        <f t="shared" si="10"/>
        <v>70.688230403779727</v>
      </c>
      <c r="G17" s="5">
        <f t="shared" si="10"/>
        <v>135.27261010833061</v>
      </c>
      <c r="H17" s="5">
        <f t="shared" si="10"/>
        <v>233.15908016622697</v>
      </c>
      <c r="I17" s="5">
        <f t="shared" si="10"/>
        <v>373.59461283144168</v>
      </c>
      <c r="J17" s="7">
        <f t="shared" si="10"/>
        <v>566.87431963324934</v>
      </c>
      <c r="K17" s="7">
        <f>K16^4-3*K16^3-4*K16^2-K16-3</f>
        <v>824.34145137622727</v>
      </c>
      <c r="L17" s="7">
        <f t="shared" si="10"/>
        <v>1158.3873981402539</v>
      </c>
    </row>
    <row r="26" spans="1:12" x14ac:dyDescent="0.3">
      <c r="I26" t="s">
        <v>19</v>
      </c>
    </row>
  </sheetData>
  <mergeCells count="2">
    <mergeCell ref="A3:E3"/>
    <mergeCell ref="A1:E1"/>
  </mergeCells>
  <pageMargins left="0.7" right="0.7" top="0.75" bottom="0.75" header="0.3" footer="0.3"/>
  <pageSetup paperSize="9"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zoomScale="85" zoomScaleNormal="85" workbookViewId="0">
      <selection activeCell="H7" sqref="H7"/>
    </sheetView>
  </sheetViews>
  <sheetFormatPr defaultRowHeight="14.4" x14ac:dyDescent="0.3"/>
  <cols>
    <col min="1" max="1" width="21.44140625" customWidth="1"/>
    <col min="2" max="2" width="15.109375" customWidth="1"/>
    <col min="3" max="3" width="14.109375" customWidth="1"/>
    <col min="5" max="5" width="20.33203125" customWidth="1"/>
    <col min="7" max="7" width="12.33203125" customWidth="1"/>
    <col min="8" max="8" width="13.33203125" customWidth="1"/>
    <col min="9" max="9" width="11.33203125" customWidth="1"/>
    <col min="11" max="11" width="12.109375" customWidth="1"/>
    <col min="12" max="12" width="11.33203125" customWidth="1"/>
    <col min="13" max="13" width="14.5546875" customWidth="1"/>
  </cols>
  <sheetData>
    <row r="1" spans="1:11" x14ac:dyDescent="0.3">
      <c r="A1" s="47" t="s">
        <v>49</v>
      </c>
      <c r="B1" s="47"/>
      <c r="C1" s="47"/>
      <c r="D1" s="47"/>
      <c r="E1" s="47"/>
      <c r="F1" s="9"/>
      <c r="G1" s="9"/>
      <c r="K1" t="s">
        <v>19</v>
      </c>
    </row>
    <row r="2" spans="1:11" x14ac:dyDescent="0.3">
      <c r="A2" t="s">
        <v>14</v>
      </c>
    </row>
    <row r="4" spans="1:11" ht="28.8" x14ac:dyDescent="0.3">
      <c r="A4" s="34" t="s">
        <v>15</v>
      </c>
      <c r="B4" s="35" t="s">
        <v>16</v>
      </c>
      <c r="C4" s="35" t="s">
        <v>17</v>
      </c>
      <c r="G4" s="48" t="s">
        <v>18</v>
      </c>
      <c r="H4" s="48"/>
      <c r="I4" s="48"/>
    </row>
    <row r="5" spans="1:11" ht="28.8" x14ac:dyDescent="0.3">
      <c r="A5" s="1">
        <v>0</v>
      </c>
      <c r="B5" s="33">
        <v>0.1</v>
      </c>
      <c r="C5" s="5"/>
      <c r="G5" s="36" t="s">
        <v>15</v>
      </c>
      <c r="H5" s="37" t="s">
        <v>16</v>
      </c>
      <c r="I5" s="37" t="s">
        <v>17</v>
      </c>
    </row>
    <row r="6" spans="1:11" x14ac:dyDescent="0.3">
      <c r="A6" s="1">
        <v>1</v>
      </c>
      <c r="B6" s="33">
        <f>B5-0.25*(B5+ LN(B5)-0.5)</f>
        <v>0.77564627324851132</v>
      </c>
      <c r="C6" s="1" t="str">
        <f>IF(ABS(B6-B5)&lt;=0.0001,"СТОП","ДАЛЬШЕ")</f>
        <v>ДАЛЬШЕ</v>
      </c>
      <c r="G6" s="1">
        <v>0</v>
      </c>
      <c r="H6" s="1">
        <v>1</v>
      </c>
      <c r="I6" s="1"/>
    </row>
    <row r="7" spans="1:11" x14ac:dyDescent="0.3">
      <c r="A7" s="1">
        <v>2</v>
      </c>
      <c r="B7" s="33">
        <f t="shared" ref="B7:B12" si="0">B6-0.25*(B6+ LN(B6)-0.5)</f>
        <v>0.77024937897768464</v>
      </c>
      <c r="C7" s="1" t="str">
        <f t="shared" ref="C7:C12" si="1">IF(ABS(B7-B6)&lt;=0.0001,"СТОП","ДАЛЬШЕ")</f>
        <v>ДАЛЬШЕ</v>
      </c>
      <c r="G7" s="1">
        <v>1</v>
      </c>
      <c r="H7" s="1">
        <f>H6-(H6+ LN(H6)-0.5)/(4*H6)</f>
        <v>0.875</v>
      </c>
      <c r="I7" s="1" t="str">
        <f>IF(ABS(H7-H6)&lt;=0.0001,"СТОП","ДАЛЬШЕ")</f>
        <v>ДАЛЬШЕ</v>
      </c>
    </row>
    <row r="8" spans="1:11" x14ac:dyDescent="0.3">
      <c r="A8" s="1">
        <v>3</v>
      </c>
      <c r="B8" s="33">
        <f t="shared" si="0"/>
        <v>0.76794727117486328</v>
      </c>
      <c r="C8" s="1" t="str">
        <f t="shared" si="1"/>
        <v>ДАЛЬШЕ</v>
      </c>
      <c r="G8" s="1">
        <v>2</v>
      </c>
      <c r="H8" s="1">
        <f t="shared" ref="H8:H10" si="2">H7-(H7+ LN(H7)-0.5)/(4*H7)</f>
        <v>0.80600896932129218</v>
      </c>
      <c r="I8" s="1" t="str">
        <f t="shared" ref="I8:I10" si="3">IF(ABS(H8-H7)&lt;=0.0001,"СТОП","ДАЛЬШЕ")</f>
        <v>ДАЛЬШЕ</v>
      </c>
    </row>
    <row r="9" spans="1:11" x14ac:dyDescent="0.3">
      <c r="A9" s="1">
        <v>4</v>
      </c>
      <c r="B9" s="33">
        <f t="shared" si="0"/>
        <v>0.76696900476011831</v>
      </c>
      <c r="C9" s="1" t="str">
        <f t="shared" si="1"/>
        <v>ДАЛЬШЕ</v>
      </c>
      <c r="G9" s="1">
        <v>3</v>
      </c>
      <c r="H9" s="1">
        <f t="shared" si="2"/>
        <v>0.77798553397102144</v>
      </c>
      <c r="I9" s="1" t="str">
        <f t="shared" si="3"/>
        <v>ДАЛЬШЕ</v>
      </c>
    </row>
    <row r="10" spans="1:11" x14ac:dyDescent="0.3">
      <c r="A10" s="1">
        <v>5</v>
      </c>
      <c r="B10" s="33">
        <f t="shared" si="0"/>
        <v>0.76655397592888486</v>
      </c>
      <c r="C10" s="1" t="str">
        <f t="shared" si="1"/>
        <v>ДАЛЬШЕ</v>
      </c>
      <c r="G10" s="1">
        <v>4</v>
      </c>
      <c r="H10" s="1">
        <f t="shared" si="2"/>
        <v>0.76932914386138551</v>
      </c>
      <c r="I10" s="1" t="str">
        <f t="shared" si="3"/>
        <v>ДАЛЬШЕ</v>
      </c>
    </row>
    <row r="11" spans="1:11" x14ac:dyDescent="0.3">
      <c r="A11" s="1">
        <v>6</v>
      </c>
      <c r="B11" s="33">
        <f>B10-0.25*(B10+ LN(B10)-0.5)</f>
        <v>0.76637802306057223</v>
      </c>
      <c r="C11" s="1" t="str">
        <f t="shared" si="1"/>
        <v>ДАЛЬШЕ</v>
      </c>
      <c r="G11" s="1">
        <v>5</v>
      </c>
      <c r="H11" s="1">
        <f t="shared" ref="H11:H13" si="4">H10-(H10+ LN(H10)-0.5)/(4*H10)</f>
        <v>0.76702429219502066</v>
      </c>
      <c r="I11" s="1" t="str">
        <f t="shared" ref="I11:I13" si="5">IF(ABS(H11-H10)&lt;=0.0001,"СТОП","ДАЛЬШЕ")</f>
        <v>ДАЛЬШЕ</v>
      </c>
    </row>
    <row r="12" spans="1:11" x14ac:dyDescent="0.3">
      <c r="A12" s="1">
        <v>7</v>
      </c>
      <c r="B12" s="33">
        <f t="shared" si="0"/>
        <v>0.76630344936640604</v>
      </c>
      <c r="C12" s="1" t="str">
        <f t="shared" si="1"/>
        <v>СТОП</v>
      </c>
      <c r="G12" s="1">
        <v>6</v>
      </c>
      <c r="H12" s="1">
        <f t="shared" si="4"/>
        <v>0.76644168816335834</v>
      </c>
      <c r="I12" s="1" t="str">
        <f t="shared" si="5"/>
        <v>ДАЛЬШЕ</v>
      </c>
    </row>
    <row r="13" spans="1:11" x14ac:dyDescent="0.3">
      <c r="G13" s="1">
        <v>7</v>
      </c>
      <c r="H13" s="1">
        <f t="shared" si="4"/>
        <v>0.76629652736685627</v>
      </c>
      <c r="I13" s="1" t="str">
        <f t="shared" si="5"/>
        <v>ДАЛЬШЕ</v>
      </c>
    </row>
    <row r="14" spans="1:11" x14ac:dyDescent="0.3">
      <c r="G14" s="1">
        <v>8</v>
      </c>
      <c r="H14" s="1">
        <f t="shared" ref="H14" si="6">H13-(H13+ LN(H13)-0.5)/(4*H13)</f>
        <v>0.76626049214483594</v>
      </c>
      <c r="I14" s="1" t="str">
        <f t="shared" ref="I14" si="7">IF(ABS(H14-H13)&lt;=0.0001,"СТОП","ДАЛЬШЕ")</f>
        <v>СТОП</v>
      </c>
    </row>
    <row r="16" spans="1:11" x14ac:dyDescent="0.3">
      <c r="B16" s="10"/>
    </row>
    <row r="17" spans="2:2" x14ac:dyDescent="0.3">
      <c r="B17" s="10"/>
    </row>
    <row r="18" spans="2:2" x14ac:dyDescent="0.3">
      <c r="B18" s="10"/>
    </row>
  </sheetData>
  <mergeCells count="2">
    <mergeCell ref="G4:I4"/>
    <mergeCell ref="A1:E1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zoomScale="85" zoomScaleNormal="85" workbookViewId="0">
      <selection activeCell="H21" sqref="H21"/>
    </sheetView>
  </sheetViews>
  <sheetFormatPr defaultRowHeight="14.4" x14ac:dyDescent="0.3"/>
  <cols>
    <col min="5" max="5" width="16.5546875" customWidth="1"/>
    <col min="6" max="6" width="24.6640625" customWidth="1"/>
  </cols>
  <sheetData>
    <row r="1" spans="1:6" x14ac:dyDescent="0.3">
      <c r="A1" s="49" t="s">
        <v>50</v>
      </c>
      <c r="B1" s="49"/>
      <c r="C1" s="49"/>
      <c r="D1" s="49"/>
      <c r="E1" s="49"/>
      <c r="F1" s="49"/>
    </row>
    <row r="3" spans="1:6" x14ac:dyDescent="0.3">
      <c r="A3" s="13" t="s">
        <v>20</v>
      </c>
      <c r="B3" s="13" t="s">
        <v>21</v>
      </c>
      <c r="C3" s="13" t="s">
        <v>22</v>
      </c>
      <c r="D3" s="13" t="s">
        <v>23</v>
      </c>
      <c r="E3" s="13" t="s">
        <v>24</v>
      </c>
    </row>
    <row r="4" spans="1:6" x14ac:dyDescent="0.3">
      <c r="A4" s="1">
        <v>0</v>
      </c>
      <c r="B4" s="1">
        <v>0.1</v>
      </c>
      <c r="C4" s="1">
        <v>2</v>
      </c>
      <c r="D4" s="1">
        <f>(B4+C4)/2</f>
        <v>1.05</v>
      </c>
      <c r="E4" s="1"/>
    </row>
    <row r="5" spans="1:6" x14ac:dyDescent="0.3">
      <c r="A5" s="1">
        <v>1</v>
      </c>
      <c r="B5" s="1">
        <f>IF(((B4+ LN(B4)-0.5)*(D4+ LN(D4)-0.5))&lt;0,B4,C4)</f>
        <v>0.1</v>
      </c>
      <c r="C5" s="1">
        <f>D4</f>
        <v>1.05</v>
      </c>
      <c r="D5" s="1">
        <f>(B5+C5)/2</f>
        <v>0.57500000000000007</v>
      </c>
      <c r="E5" s="1" t="str">
        <f>IF(ABS(D5-D4)&lt;0.0001,"СТОП","ДАЛЬШЕ")</f>
        <v>ДАЛЬШЕ</v>
      </c>
    </row>
    <row r="6" spans="1:6" x14ac:dyDescent="0.3">
      <c r="A6" s="1">
        <v>2</v>
      </c>
      <c r="B6" s="1">
        <f t="shared" ref="B6:B14" si="0">IF(((2*B5^2-1)*(2*D5^2-1))&lt;0,B5,C5)</f>
        <v>1.05</v>
      </c>
      <c r="C6" s="1">
        <f t="shared" ref="C6:C19" si="1">D5</f>
        <v>0.57500000000000007</v>
      </c>
      <c r="D6" s="1">
        <f t="shared" ref="D6:D14" si="2">(B6+C6)/2</f>
        <v>0.8125</v>
      </c>
      <c r="E6" s="1" t="str">
        <f t="shared" ref="E6:E19" si="3">IF(ABS(D6-D5)&lt;0.0001,"СТОП","ДАЛЬШЕ")</f>
        <v>ДАЛЬШЕ</v>
      </c>
    </row>
    <row r="7" spans="1:6" x14ac:dyDescent="0.3">
      <c r="A7" s="1">
        <v>3</v>
      </c>
      <c r="B7" s="1">
        <f t="shared" si="0"/>
        <v>0.57500000000000007</v>
      </c>
      <c r="C7" s="1">
        <f t="shared" si="1"/>
        <v>0.8125</v>
      </c>
      <c r="D7" s="1">
        <f t="shared" si="2"/>
        <v>0.69375000000000009</v>
      </c>
      <c r="E7" s="1" t="str">
        <f t="shared" si="3"/>
        <v>ДАЛЬШЕ</v>
      </c>
    </row>
    <row r="8" spans="1:6" x14ac:dyDescent="0.3">
      <c r="A8" s="1">
        <v>4</v>
      </c>
      <c r="B8" s="1">
        <f t="shared" si="0"/>
        <v>0.8125</v>
      </c>
      <c r="C8" s="1">
        <f t="shared" si="1"/>
        <v>0.69375000000000009</v>
      </c>
      <c r="D8" s="1">
        <f t="shared" si="2"/>
        <v>0.75312500000000004</v>
      </c>
      <c r="E8" s="1" t="str">
        <f t="shared" si="3"/>
        <v>ДАЛЬШЕ</v>
      </c>
    </row>
    <row r="9" spans="1:6" x14ac:dyDescent="0.3">
      <c r="A9" s="1">
        <v>5</v>
      </c>
      <c r="B9" s="1">
        <f t="shared" si="0"/>
        <v>0.69375000000000009</v>
      </c>
      <c r="C9" s="1">
        <f t="shared" si="1"/>
        <v>0.75312500000000004</v>
      </c>
      <c r="D9" s="1">
        <f t="shared" si="2"/>
        <v>0.72343750000000007</v>
      </c>
      <c r="E9" s="1" t="str">
        <f t="shared" si="3"/>
        <v>ДАЛЬШЕ</v>
      </c>
    </row>
    <row r="10" spans="1:6" x14ac:dyDescent="0.3">
      <c r="A10" s="1">
        <v>6</v>
      </c>
      <c r="B10" s="1">
        <f t="shared" si="0"/>
        <v>0.69375000000000009</v>
      </c>
      <c r="C10" s="1">
        <f t="shared" si="1"/>
        <v>0.72343750000000007</v>
      </c>
      <c r="D10" s="1">
        <f t="shared" si="2"/>
        <v>0.70859375000000013</v>
      </c>
      <c r="E10" s="1" t="str">
        <f t="shared" si="3"/>
        <v>ДАЛЬШЕ</v>
      </c>
    </row>
    <row r="11" spans="1:6" x14ac:dyDescent="0.3">
      <c r="A11" s="1">
        <v>7</v>
      </c>
      <c r="B11" s="1">
        <f t="shared" si="0"/>
        <v>0.69375000000000009</v>
      </c>
      <c r="C11" s="1">
        <f t="shared" si="1"/>
        <v>0.70859375000000013</v>
      </c>
      <c r="D11" s="1">
        <f t="shared" si="2"/>
        <v>0.70117187500000011</v>
      </c>
      <c r="E11" s="1" t="str">
        <f t="shared" si="3"/>
        <v>ДАЛЬШЕ</v>
      </c>
    </row>
    <row r="12" spans="1:6" x14ac:dyDescent="0.3">
      <c r="A12" s="1">
        <v>8</v>
      </c>
      <c r="B12" s="1">
        <f t="shared" si="0"/>
        <v>0.70859375000000013</v>
      </c>
      <c r="C12" s="1">
        <f t="shared" si="1"/>
        <v>0.70117187500000011</v>
      </c>
      <c r="D12" s="1">
        <f t="shared" si="2"/>
        <v>0.70488281250000018</v>
      </c>
      <c r="E12" s="1" t="str">
        <f t="shared" si="3"/>
        <v>ДАЛЬШЕ</v>
      </c>
    </row>
    <row r="13" spans="1:6" x14ac:dyDescent="0.3">
      <c r="A13" s="1">
        <v>9</v>
      </c>
      <c r="B13" s="1">
        <f t="shared" si="0"/>
        <v>0.70859375000000013</v>
      </c>
      <c r="C13" s="1">
        <f t="shared" si="1"/>
        <v>0.70488281250000018</v>
      </c>
      <c r="D13" s="1">
        <f t="shared" si="2"/>
        <v>0.70673828125000016</v>
      </c>
      <c r="E13" s="1" t="str">
        <f t="shared" si="3"/>
        <v>ДАЛЬШЕ</v>
      </c>
    </row>
    <row r="14" spans="1:6" x14ac:dyDescent="0.3">
      <c r="A14" s="1">
        <v>10</v>
      </c>
      <c r="B14" s="1">
        <f t="shared" si="0"/>
        <v>0.70859375000000013</v>
      </c>
      <c r="C14" s="1">
        <f t="shared" si="1"/>
        <v>0.70673828125000016</v>
      </c>
      <c r="D14" s="1">
        <f t="shared" si="2"/>
        <v>0.70766601562500009</v>
      </c>
      <c r="E14" s="1" t="str">
        <f t="shared" si="3"/>
        <v>ДАЛЬШЕ</v>
      </c>
    </row>
    <row r="15" spans="1:6" x14ac:dyDescent="0.3">
      <c r="A15" s="1">
        <v>11</v>
      </c>
      <c r="B15" s="1">
        <f>IF(((2*B14^2-1)*(2*D14^2-1))&lt;0,B14,C14)</f>
        <v>0.70673828125000016</v>
      </c>
      <c r="C15" s="1">
        <f>D14</f>
        <v>0.70766601562500009</v>
      </c>
      <c r="D15" s="1">
        <f>(B15+C15)/2</f>
        <v>0.70720214843750018</v>
      </c>
      <c r="E15" s="1" t="str">
        <f t="shared" si="3"/>
        <v>ДАЛЬШЕ</v>
      </c>
    </row>
    <row r="16" spans="1:6" x14ac:dyDescent="0.3">
      <c r="A16" s="1">
        <v>12</v>
      </c>
      <c r="B16" s="1">
        <f t="shared" ref="B16" si="4">IF(((2*B15^2-1)*(2*D15^2-1))&lt;0,B15,C15)</f>
        <v>0.70673828125000016</v>
      </c>
      <c r="C16" s="1">
        <f t="shared" si="1"/>
        <v>0.70720214843750018</v>
      </c>
      <c r="D16" s="1">
        <f t="shared" ref="D16" si="5">(B16+C16)/2</f>
        <v>0.70697021484375022</v>
      </c>
      <c r="E16" s="1" t="str">
        <f t="shared" si="3"/>
        <v>ДАЛЬШЕ</v>
      </c>
    </row>
    <row r="17" spans="1:5" x14ac:dyDescent="0.3">
      <c r="A17" s="1">
        <v>13</v>
      </c>
      <c r="B17" s="1">
        <f>IF(((2*B16^2-1)*(2*D16^2-1))&lt;0,B16,C16)</f>
        <v>0.70720214843750018</v>
      </c>
      <c r="C17" s="1">
        <f>D16</f>
        <v>0.70697021484375022</v>
      </c>
      <c r="D17" s="1">
        <f>(B17+C17)/2</f>
        <v>0.7070861816406252</v>
      </c>
      <c r="E17" s="1" t="str">
        <f t="shared" si="3"/>
        <v>ДАЛЬШЕ</v>
      </c>
    </row>
    <row r="18" spans="1:5" x14ac:dyDescent="0.3">
      <c r="A18" s="1">
        <v>14</v>
      </c>
      <c r="B18" s="1">
        <f t="shared" ref="B18" si="6">IF(((2*B17^2-1)*(2*D17^2-1))&lt;0,B17,C17)</f>
        <v>0.70720214843750018</v>
      </c>
      <c r="C18" s="1">
        <f t="shared" si="1"/>
        <v>0.7070861816406252</v>
      </c>
      <c r="D18" s="1">
        <f t="shared" ref="D18" si="7">(B18+C18)/2</f>
        <v>0.70714416503906263</v>
      </c>
      <c r="E18" s="1" t="str">
        <f t="shared" si="3"/>
        <v>СТОП</v>
      </c>
    </row>
    <row r="19" spans="1:5" x14ac:dyDescent="0.3">
      <c r="A19" s="1">
        <v>15</v>
      </c>
      <c r="B19" s="1">
        <f t="shared" ref="B19" si="8">IF(((2*B18^2-1)*(2*D18^2-1))&lt;0,B18,C18)</f>
        <v>0.7070861816406252</v>
      </c>
      <c r="C19" s="1">
        <f t="shared" si="1"/>
        <v>0.70714416503906263</v>
      </c>
      <c r="D19" s="1">
        <f t="shared" ref="D19" si="9">(B19+C19)/2</f>
        <v>0.70711517333984397</v>
      </c>
      <c r="E19" s="1" t="str">
        <f t="shared" si="3"/>
        <v>СТОП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0"/>
  <sheetViews>
    <sheetView topLeftCell="A13" zoomScale="85" zoomScaleNormal="85" workbookViewId="0">
      <selection activeCell="M9" sqref="M9"/>
    </sheetView>
  </sheetViews>
  <sheetFormatPr defaultRowHeight="14.4" x14ac:dyDescent="0.3"/>
  <cols>
    <col min="3" max="3" width="12.6640625" bestFit="1" customWidth="1"/>
    <col min="4" max="4" width="13.6640625" customWidth="1"/>
    <col min="6" max="6" width="16.6640625" customWidth="1"/>
    <col min="11" max="11" width="9.33203125" bestFit="1" customWidth="1"/>
    <col min="12" max="12" width="12.88671875" bestFit="1" customWidth="1"/>
    <col min="13" max="13" width="12.6640625" bestFit="1" customWidth="1"/>
    <col min="14" max="14" width="9.33203125" bestFit="1" customWidth="1"/>
  </cols>
  <sheetData>
    <row r="1" spans="1:17" x14ac:dyDescent="0.3">
      <c r="A1" s="47" t="s">
        <v>52</v>
      </c>
      <c r="B1" s="47"/>
      <c r="C1" s="47"/>
      <c r="D1" s="47"/>
      <c r="E1" s="47"/>
    </row>
    <row r="2" spans="1:17" x14ac:dyDescent="0.3">
      <c r="A2" s="12"/>
      <c r="B2" s="12"/>
      <c r="C2" s="12"/>
      <c r="D2" s="12"/>
      <c r="E2" s="12"/>
      <c r="F2" s="12"/>
      <c r="G2" s="12"/>
    </row>
    <row r="3" spans="1:17" x14ac:dyDescent="0.3">
      <c r="A3" s="51"/>
      <c r="B3" s="51"/>
      <c r="C3" s="51"/>
      <c r="D3" s="12"/>
      <c r="E3" s="12"/>
      <c r="F3" s="12"/>
      <c r="G3" s="12"/>
    </row>
    <row r="4" spans="1:17" x14ac:dyDescent="0.3">
      <c r="A4" s="12"/>
      <c r="B4" s="12"/>
      <c r="C4" s="12"/>
      <c r="D4" s="12"/>
      <c r="E4" s="12"/>
      <c r="F4" s="12"/>
      <c r="G4" s="12"/>
    </row>
    <row r="5" spans="1:17" x14ac:dyDescent="0.3">
      <c r="A5" s="12"/>
      <c r="B5" s="12"/>
      <c r="C5" s="12"/>
      <c r="D5" s="12"/>
      <c r="E5" s="12"/>
      <c r="F5" s="12"/>
      <c r="G5" s="12"/>
    </row>
    <row r="6" spans="1:17" x14ac:dyDescent="0.3">
      <c r="A6" s="12"/>
      <c r="B6" s="12"/>
      <c r="C6" s="12"/>
      <c r="D6" s="12"/>
      <c r="E6" s="12"/>
      <c r="F6" s="12"/>
      <c r="G6" s="12"/>
    </row>
    <row r="7" spans="1:17" x14ac:dyDescent="0.3">
      <c r="A7" s="12"/>
      <c r="B7" s="12"/>
      <c r="C7" s="12"/>
      <c r="D7" s="12"/>
      <c r="E7" s="12"/>
      <c r="F7" s="12"/>
      <c r="G7" s="12"/>
    </row>
    <row r="8" spans="1:17" x14ac:dyDescent="0.3">
      <c r="A8" s="12"/>
      <c r="B8" s="52" t="s">
        <v>25</v>
      </c>
      <c r="C8" s="52"/>
      <c r="D8" s="52"/>
      <c r="E8" s="52"/>
      <c r="F8" s="12"/>
      <c r="G8" s="52" t="s">
        <v>29</v>
      </c>
      <c r="H8" s="52"/>
      <c r="I8" s="52"/>
    </row>
    <row r="9" spans="1:17" x14ac:dyDescent="0.3">
      <c r="A9" s="12"/>
      <c r="B9" s="12"/>
      <c r="C9" s="12"/>
      <c r="D9" s="12"/>
      <c r="E9" s="12"/>
      <c r="F9" s="12"/>
      <c r="G9" s="12"/>
    </row>
    <row r="10" spans="1:17" x14ac:dyDescent="0.3">
      <c r="A10" s="12">
        <v>1</v>
      </c>
      <c r="B10" s="39">
        <v>0.21</v>
      </c>
      <c r="C10" s="39">
        <v>-0.18</v>
      </c>
      <c r="D10" s="40">
        <v>0.75</v>
      </c>
      <c r="E10" s="40">
        <v>0.11</v>
      </c>
      <c r="F10" s="16">
        <v>1</v>
      </c>
      <c r="G10" s="5">
        <v>0.21</v>
      </c>
      <c r="H10" s="5">
        <v>-0.18</v>
      </c>
      <c r="I10" s="6">
        <v>0.75</v>
      </c>
      <c r="J10" s="14"/>
    </row>
    <row r="11" spans="1:17" x14ac:dyDescent="0.3">
      <c r="A11" s="12"/>
      <c r="B11" s="39">
        <v>0.13</v>
      </c>
      <c r="C11" s="39">
        <v>-0.75</v>
      </c>
      <c r="D11" s="39">
        <v>-0.11</v>
      </c>
      <c r="E11" s="40">
        <v>2</v>
      </c>
      <c r="F11" s="12"/>
      <c r="G11" s="5">
        <v>0.13</v>
      </c>
      <c r="H11" s="5">
        <v>-0.75</v>
      </c>
      <c r="I11" s="5">
        <v>-0.11</v>
      </c>
      <c r="J11" s="14"/>
    </row>
    <row r="12" spans="1:17" x14ac:dyDescent="0.3">
      <c r="A12" s="12"/>
      <c r="B12" s="39">
        <v>3.01</v>
      </c>
      <c r="C12" s="39">
        <v>-0.33</v>
      </c>
      <c r="D12" s="39">
        <v>0.11</v>
      </c>
      <c r="E12" s="40">
        <v>0.13</v>
      </c>
      <c r="F12" s="12"/>
      <c r="G12" s="5">
        <v>3.01</v>
      </c>
      <c r="H12" s="5">
        <v>-0.33</v>
      </c>
      <c r="I12" s="5">
        <v>0.11</v>
      </c>
      <c r="J12" s="14"/>
    </row>
    <row r="13" spans="1:17" x14ac:dyDescent="0.3">
      <c r="A13" s="12"/>
      <c r="B13" s="12"/>
      <c r="C13" s="12"/>
      <c r="D13" s="12"/>
      <c r="E13" s="12"/>
      <c r="F13" s="12"/>
      <c r="G13" s="12"/>
    </row>
    <row r="14" spans="1:17" x14ac:dyDescent="0.3">
      <c r="A14" s="12">
        <v>2</v>
      </c>
      <c r="B14" s="5">
        <f t="array" ref="B14:D16">MINVERSE(B10:D12)</f>
        <v>-6.9957495521660334E-2</v>
      </c>
      <c r="C14" s="5">
        <v>-0.13408519974984898</v>
      </c>
      <c r="D14" s="5">
        <v>0.34289772426147147</v>
      </c>
      <c r="E14" s="12"/>
      <c r="F14" s="12"/>
      <c r="G14" s="17" t="s">
        <v>30</v>
      </c>
      <c r="H14" s="5">
        <f>MDETERM(G10:I12)</f>
        <v>1.6981740000000001</v>
      </c>
    </row>
    <row r="15" spans="1:17" x14ac:dyDescent="0.3">
      <c r="A15" s="12"/>
      <c r="B15" s="5">
        <v>-0.20339494068334577</v>
      </c>
      <c r="C15" s="5">
        <v>-1.3157662289023386</v>
      </c>
      <c r="D15" s="5">
        <v>7.1017457575018816E-2</v>
      </c>
      <c r="E15" s="12"/>
      <c r="F15" s="12"/>
      <c r="G15" s="12"/>
    </row>
    <row r="16" spans="1:17" x14ac:dyDescent="0.3">
      <c r="A16" s="12"/>
      <c r="B16" s="5">
        <v>1.3041066463153952</v>
      </c>
      <c r="C16" s="5">
        <v>-0.27824003900660355</v>
      </c>
      <c r="D16" s="5">
        <v>-7.8967172975207486E-2</v>
      </c>
      <c r="E16" s="12"/>
      <c r="F16" s="12">
        <v>2</v>
      </c>
      <c r="G16" s="40">
        <v>0.11</v>
      </c>
      <c r="H16" s="39">
        <v>-0.18</v>
      </c>
      <c r="I16" s="40">
        <v>0.75</v>
      </c>
      <c r="J16" s="41"/>
      <c r="K16" s="39">
        <v>0.21</v>
      </c>
      <c r="L16" s="40">
        <v>0.11</v>
      </c>
      <c r="M16" s="40">
        <v>0.75</v>
      </c>
      <c r="N16" s="41"/>
      <c r="O16" s="39">
        <v>0.21</v>
      </c>
      <c r="P16" s="39">
        <v>-0.18</v>
      </c>
      <c r="Q16" s="40">
        <v>0.11</v>
      </c>
    </row>
    <row r="17" spans="1:17" x14ac:dyDescent="0.3">
      <c r="A17" s="12"/>
      <c r="B17" s="12"/>
      <c r="C17" s="12"/>
      <c r="D17" s="12"/>
      <c r="E17" s="12"/>
      <c r="F17" s="12"/>
      <c r="G17" s="40">
        <v>2</v>
      </c>
      <c r="H17" s="39">
        <v>-0.75</v>
      </c>
      <c r="I17" s="39">
        <v>-0.11</v>
      </c>
      <c r="J17" s="41"/>
      <c r="K17" s="39">
        <v>0.13</v>
      </c>
      <c r="L17" s="40">
        <v>2</v>
      </c>
      <c r="M17" s="39">
        <v>-0.11</v>
      </c>
      <c r="N17" s="41"/>
      <c r="O17" s="39">
        <v>0.13</v>
      </c>
      <c r="P17" s="39">
        <v>-0.75</v>
      </c>
      <c r="Q17" s="40">
        <v>2</v>
      </c>
    </row>
    <row r="18" spans="1:17" x14ac:dyDescent="0.3">
      <c r="A18">
        <v>3</v>
      </c>
      <c r="B18" s="15" t="s">
        <v>26</v>
      </c>
      <c r="C18" s="5">
        <f t="array" ref="C18:C20">MMULT(B14:D16,E10:E12)</f>
        <v>-0.23128901985308931</v>
      </c>
      <c r="G18" s="40">
        <v>0.13</v>
      </c>
      <c r="H18" s="39">
        <v>-0.33</v>
      </c>
      <c r="I18" s="39">
        <v>0.11</v>
      </c>
      <c r="J18" s="41"/>
      <c r="K18" s="39">
        <v>3.01</v>
      </c>
      <c r="L18" s="40">
        <v>0.13</v>
      </c>
      <c r="M18" s="39">
        <v>0.11</v>
      </c>
      <c r="N18" s="41"/>
      <c r="O18" s="39">
        <v>3.01</v>
      </c>
      <c r="P18" s="39">
        <v>-0.33</v>
      </c>
      <c r="Q18" s="40">
        <v>0.13</v>
      </c>
    </row>
    <row r="19" spans="1:17" x14ac:dyDescent="0.3">
      <c r="B19" s="15" t="s">
        <v>27</v>
      </c>
      <c r="C19" s="5">
        <v>-2.6446736317950927</v>
      </c>
    </row>
    <row r="20" spans="1:17" x14ac:dyDescent="0.3">
      <c r="B20" s="15" t="s">
        <v>28</v>
      </c>
      <c r="C20" s="5">
        <v>-0.42329407940529062</v>
      </c>
      <c r="G20" s="17" t="s">
        <v>31</v>
      </c>
      <c r="H20" s="5">
        <f>MDETERM(G16:I18)</f>
        <v>-0.39276899999999998</v>
      </c>
      <c r="K20" s="17" t="s">
        <v>32</v>
      </c>
      <c r="L20" s="5">
        <f>MDETERM(K16:M18)</f>
        <v>-4.4911159999999999</v>
      </c>
      <c r="O20" s="17" t="s">
        <v>36</v>
      </c>
      <c r="P20" s="6">
        <f>MDETERM(O16:Q18)</f>
        <v>-0.71882699999999988</v>
      </c>
    </row>
    <row r="21" spans="1:17" x14ac:dyDescent="0.3">
      <c r="G21" s="15" t="s">
        <v>33</v>
      </c>
      <c r="H21" s="5">
        <f>H20/H14</f>
        <v>-0.23128901985308925</v>
      </c>
      <c r="K21" s="15" t="s">
        <v>34</v>
      </c>
      <c r="L21" s="5">
        <f>L20/H14</f>
        <v>-2.6446736317950927</v>
      </c>
      <c r="O21" s="15" t="s">
        <v>35</v>
      </c>
      <c r="P21" s="6">
        <f>P20/H14</f>
        <v>-0.42329407940529051</v>
      </c>
    </row>
    <row r="24" spans="1:17" x14ac:dyDescent="0.3">
      <c r="B24" s="52" t="s">
        <v>51</v>
      </c>
      <c r="C24" s="52"/>
      <c r="D24" s="52"/>
      <c r="E24" s="52"/>
      <c r="F24" s="52"/>
      <c r="G24" s="52"/>
    </row>
    <row r="25" spans="1:17" ht="28.8" x14ac:dyDescent="0.3">
      <c r="B25" s="50" t="s">
        <v>12</v>
      </c>
      <c r="C25" s="50"/>
      <c r="D25" s="50"/>
      <c r="E25" s="19" t="s">
        <v>13</v>
      </c>
      <c r="F25" s="19" t="s">
        <v>10</v>
      </c>
      <c r="G25" s="20" t="s">
        <v>11</v>
      </c>
    </row>
    <row r="26" spans="1:17" x14ac:dyDescent="0.3">
      <c r="B26" s="39">
        <v>0.21</v>
      </c>
      <c r="C26" s="39">
        <v>-0.18</v>
      </c>
      <c r="D26" s="40">
        <v>0.75</v>
      </c>
      <c r="E26" s="40">
        <v>0.11</v>
      </c>
      <c r="F26" s="5"/>
      <c r="G26" s="5">
        <v>0.21</v>
      </c>
    </row>
    <row r="27" spans="1:17" x14ac:dyDescent="0.3">
      <c r="B27" s="39">
        <v>0.13</v>
      </c>
      <c r="C27" s="39">
        <v>-0.75</v>
      </c>
      <c r="D27" s="39">
        <v>-0.11</v>
      </c>
      <c r="E27" s="40">
        <v>2</v>
      </c>
      <c r="F27" s="5"/>
      <c r="G27" s="5"/>
    </row>
    <row r="28" spans="1:17" x14ac:dyDescent="0.3">
      <c r="B28" s="39">
        <v>3.01</v>
      </c>
      <c r="C28" s="39">
        <v>-0.33</v>
      </c>
      <c r="D28" s="39">
        <v>0.11</v>
      </c>
      <c r="E28" s="40">
        <v>0.13</v>
      </c>
      <c r="F28" s="5"/>
      <c r="G28" s="5"/>
    </row>
    <row r="29" spans="1:17" x14ac:dyDescent="0.3">
      <c r="B29" s="5"/>
      <c r="C29" s="5"/>
      <c r="D29" s="5"/>
      <c r="E29" s="5"/>
      <c r="F29" s="5"/>
      <c r="G29" s="5"/>
    </row>
    <row r="30" spans="1:17" x14ac:dyDescent="0.3">
      <c r="B30" s="5">
        <f t="array" ref="B30:E30">B26:E26/B26</f>
        <v>1</v>
      </c>
      <c r="C30" s="5">
        <v>-0.8571428571428571</v>
      </c>
      <c r="D30" s="5">
        <v>3.5714285714285716</v>
      </c>
      <c r="E30" s="5">
        <v>0.52380952380952384</v>
      </c>
      <c r="F30" s="5"/>
      <c r="G30" s="5"/>
    </row>
    <row r="31" spans="1:17" x14ac:dyDescent="0.3">
      <c r="B31" s="5">
        <f t="array" ref="B31:E31">B27:E27-$B$30:$E$30*B27</f>
        <v>0</v>
      </c>
      <c r="C31" s="5">
        <v>-0.63857142857142857</v>
      </c>
      <c r="D31" s="5">
        <v>-0.57428571428571429</v>
      </c>
      <c r="E31" s="5">
        <v>1.9319047619047618</v>
      </c>
      <c r="F31" s="5"/>
      <c r="G31" s="5">
        <v>-0.63857142899999997</v>
      </c>
    </row>
    <row r="32" spans="1:17" x14ac:dyDescent="0.3">
      <c r="B32" s="11">
        <f t="array" ref="B32:E32">B28:E28-$B$30:$E$30*B28</f>
        <v>0</v>
      </c>
      <c r="C32" s="11">
        <v>2.2499999999999996</v>
      </c>
      <c r="D32" s="11">
        <v>-10.64</v>
      </c>
      <c r="E32" s="11">
        <v>-1.4466666666666668</v>
      </c>
      <c r="F32" s="11"/>
      <c r="G32" s="11"/>
    </row>
    <row r="33" spans="2:7" x14ac:dyDescent="0.3">
      <c r="B33" s="5"/>
      <c r="C33" s="5"/>
      <c r="D33" s="5"/>
      <c r="E33" s="5"/>
      <c r="F33" s="5"/>
      <c r="G33" s="5"/>
    </row>
    <row r="34" spans="2:7" x14ac:dyDescent="0.3">
      <c r="B34" s="5">
        <f t="array" ref="B34:E34">B30:E30/B30</f>
        <v>1</v>
      </c>
      <c r="C34" s="5">
        <v>-0.8571428571428571</v>
      </c>
      <c r="D34" s="5">
        <v>3.5714285714285716</v>
      </c>
      <c r="E34" s="5">
        <v>0.52380952380952384</v>
      </c>
      <c r="F34" s="22"/>
      <c r="G34" s="22"/>
    </row>
    <row r="35" spans="2:7" x14ac:dyDescent="0.3">
      <c r="B35" s="5">
        <f t="array" ref="B35:E35">B31:E31/C31</f>
        <v>0</v>
      </c>
      <c r="C35" s="5">
        <v>1</v>
      </c>
      <c r="D35" s="5">
        <v>0.89932885906040272</v>
      </c>
      <c r="E35" s="5">
        <v>-3.0253542132736762</v>
      </c>
      <c r="F35" s="5"/>
      <c r="G35" s="5"/>
    </row>
    <row r="36" spans="2:7" x14ac:dyDescent="0.3">
      <c r="B36" s="5">
        <f t="array" ref="B36:E36">B32:E32-$B$35:$E$35*C32</f>
        <v>0</v>
      </c>
      <c r="C36" s="5">
        <v>0</v>
      </c>
      <c r="D36" s="5">
        <v>-12.663489932885906</v>
      </c>
      <c r="E36" s="5">
        <v>5.3603803131991032</v>
      </c>
      <c r="F36" s="5"/>
      <c r="G36" s="5">
        <v>-12.663489930000001</v>
      </c>
    </row>
    <row r="37" spans="2:7" x14ac:dyDescent="0.3">
      <c r="B37" s="5"/>
      <c r="C37" s="5"/>
      <c r="D37" s="5"/>
      <c r="E37" s="5"/>
      <c r="F37" s="5"/>
      <c r="G37" s="5"/>
    </row>
    <row r="38" spans="2:7" ht="28.8" x14ac:dyDescent="0.3">
      <c r="B38" s="5">
        <f t="array" ref="B38:E38">B34:E34/B34</f>
        <v>1</v>
      </c>
      <c r="C38" s="5">
        <v>-0.8571428571428571</v>
      </c>
      <c r="D38" s="5">
        <v>3.5714285714285716</v>
      </c>
      <c r="E38" s="5">
        <v>0.52380952380952384</v>
      </c>
      <c r="F38" s="18">
        <f>E38-D38*E40-C38*F39</f>
        <v>-0.2312921644761512</v>
      </c>
      <c r="G38" s="21" t="s">
        <v>37</v>
      </c>
    </row>
    <row r="39" spans="2:7" x14ac:dyDescent="0.3">
      <c r="B39" s="5">
        <f t="array" ref="B39:E39">B35:E35/C35</f>
        <v>0</v>
      </c>
      <c r="C39" s="5">
        <v>1</v>
      </c>
      <c r="D39" s="5">
        <v>0.89932885906040272</v>
      </c>
      <c r="E39" s="5">
        <v>-3.0253542132736762</v>
      </c>
      <c r="F39" s="18">
        <f>E39-D39*F40</f>
        <v>-2.6446773005219981</v>
      </c>
      <c r="G39" s="5">
        <f>G26*G31*G36</f>
        <v>1.698174000752714</v>
      </c>
    </row>
    <row r="40" spans="2:7" x14ac:dyDescent="0.3">
      <c r="B40" s="5">
        <f t="array" ref="B40:E40">B36:E36/D36</f>
        <v>0</v>
      </c>
      <c r="C40" s="5">
        <v>0</v>
      </c>
      <c r="D40" s="5">
        <v>1</v>
      </c>
      <c r="E40" s="5">
        <v>-0.42329407940529051</v>
      </c>
      <c r="F40" s="18">
        <v>-0.42329</v>
      </c>
      <c r="G40" s="5"/>
    </row>
  </sheetData>
  <mergeCells count="6">
    <mergeCell ref="A1:E1"/>
    <mergeCell ref="B25:D25"/>
    <mergeCell ref="A3:C3"/>
    <mergeCell ref="B8:E8"/>
    <mergeCell ref="G8:I8"/>
    <mergeCell ref="B24:G24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4"/>
  <sheetViews>
    <sheetView tabSelected="1" topLeftCell="C34" zoomScale="85" zoomScaleNormal="85" workbookViewId="0">
      <selection activeCell="R9" sqref="R9"/>
    </sheetView>
  </sheetViews>
  <sheetFormatPr defaultRowHeight="14.4" x14ac:dyDescent="0.3"/>
  <cols>
    <col min="3" max="3" width="9.88671875" bestFit="1" customWidth="1"/>
    <col min="12" max="12" width="12" bestFit="1" customWidth="1"/>
    <col min="13" max="13" width="12.6640625" bestFit="1" customWidth="1"/>
    <col min="15" max="15" width="11.88671875" customWidth="1"/>
    <col min="16" max="16" width="12.5546875" customWidth="1"/>
  </cols>
  <sheetData>
    <row r="1" spans="1:26" x14ac:dyDescent="0.3">
      <c r="A1" s="47" t="s">
        <v>52</v>
      </c>
      <c r="B1" s="47"/>
      <c r="C1" s="47"/>
      <c r="D1" s="47"/>
      <c r="E1" s="47"/>
    </row>
    <row r="2" spans="1:26" x14ac:dyDescent="0.3">
      <c r="A2" s="53" t="s">
        <v>39</v>
      </c>
      <c r="B2" s="54"/>
      <c r="C2" s="54"/>
      <c r="L2" s="56"/>
      <c r="M2" s="56"/>
      <c r="P2" s="56"/>
    </row>
    <row r="3" spans="1:26" ht="15.6" customHeight="1" x14ac:dyDescent="0.3">
      <c r="A3" s="25" t="s">
        <v>8</v>
      </c>
      <c r="B3" s="25" t="s">
        <v>40</v>
      </c>
      <c r="C3" s="3" t="s">
        <v>44</v>
      </c>
      <c r="D3" s="25" t="s">
        <v>41</v>
      </c>
      <c r="L3" s="23" t="s">
        <v>8</v>
      </c>
      <c r="M3" s="23" t="s">
        <v>38</v>
      </c>
      <c r="O3" s="23" t="s">
        <v>8</v>
      </c>
      <c r="P3" s="23" t="s">
        <v>38</v>
      </c>
    </row>
    <row r="4" spans="1:26" x14ac:dyDescent="0.3">
      <c r="A4" s="5">
        <v>-1.2</v>
      </c>
      <c r="B4" s="5">
        <f>((3-2*A4^2)/5)^0.5</f>
        <v>0.15491933384829673</v>
      </c>
      <c r="C4" s="5">
        <f>-SQRT((3-2*A4^2)/5)</f>
        <v>-0.15491933384829673</v>
      </c>
      <c r="D4" s="5">
        <f t="shared" ref="D4:D24" si="0">(3-5*A4)/9</f>
        <v>1</v>
      </c>
      <c r="L4" s="2">
        <v>-0.86000270700000003</v>
      </c>
      <c r="M4" s="2">
        <v>0.38857220223</v>
      </c>
      <c r="O4" s="57">
        <v>0.89162326110000001</v>
      </c>
      <c r="P4" s="57">
        <v>-0.11189236</v>
      </c>
    </row>
    <row r="5" spans="1:26" x14ac:dyDescent="0.3">
      <c r="A5" s="5">
        <v>-1.1000000000000001</v>
      </c>
      <c r="B5" s="5">
        <f t="shared" ref="B5:B24" si="1">SQRT((3-2*A5^2)/5)</f>
        <v>0.34058772731852793</v>
      </c>
      <c r="C5" s="5">
        <f t="shared" ref="C5:C24" si="2">-SQRT((3-2*A5^2)/5)</f>
        <v>-0.34058772731852793</v>
      </c>
      <c r="D5" s="5">
        <f t="shared" si="0"/>
        <v>0.94444444444444442</v>
      </c>
    </row>
    <row r="6" spans="1:26" x14ac:dyDescent="0.3">
      <c r="A6" s="5">
        <v>-1</v>
      </c>
      <c r="B6" s="5">
        <f t="shared" si="1"/>
        <v>0.44721359549995793</v>
      </c>
      <c r="C6" s="5">
        <f t="shared" si="2"/>
        <v>-0.44721359549995793</v>
      </c>
      <c r="D6" s="5">
        <f t="shared" si="0"/>
        <v>0.88888888888888884</v>
      </c>
      <c r="K6" t="s">
        <v>42</v>
      </c>
      <c r="L6">
        <f>5*L4^2+2*M4^2 - 4</f>
        <v>-7.0716161815198575E-9</v>
      </c>
      <c r="M6">
        <f>2*L4+7*M4 - 1</f>
        <v>1.6100001332119973E-9</v>
      </c>
      <c r="O6">
        <f>5*O4^2+2*P4^2 - 4</f>
        <v>-8.7426688111236217E-10</v>
      </c>
      <c r="P6">
        <f>2*O4+7*P4-1</f>
        <v>2.2000001820288162E-9</v>
      </c>
    </row>
    <row r="7" spans="1:26" x14ac:dyDescent="0.3">
      <c r="A7" s="5">
        <v>-0.9</v>
      </c>
      <c r="B7" s="5">
        <f t="shared" si="1"/>
        <v>0.52535702146254781</v>
      </c>
      <c r="C7" s="5">
        <f t="shared" si="2"/>
        <v>-0.52535702146254781</v>
      </c>
      <c r="D7" s="5">
        <f t="shared" si="0"/>
        <v>0.83333333333333337</v>
      </c>
      <c r="K7" s="24" t="s">
        <v>43</v>
      </c>
      <c r="L7">
        <f>L6^2+M6^2</f>
        <v>5.2599855847676139E-17</v>
      </c>
      <c r="O7">
        <f>O6^2+P6^2</f>
        <v>5.6043433803367616E-18</v>
      </c>
    </row>
    <row r="8" spans="1:26" x14ac:dyDescent="0.3">
      <c r="A8" s="6">
        <v>-0.80000000000000104</v>
      </c>
      <c r="B8" s="6">
        <f t="shared" si="1"/>
        <v>0.58651513194460658</v>
      </c>
      <c r="C8" s="6">
        <f t="shared" si="2"/>
        <v>-0.58651513194460658</v>
      </c>
      <c r="D8" s="6">
        <f t="shared" si="0"/>
        <v>0.77777777777777835</v>
      </c>
    </row>
    <row r="9" spans="1:26" x14ac:dyDescent="0.3">
      <c r="A9" s="5">
        <v>-0.70000000000000095</v>
      </c>
      <c r="B9" s="5">
        <f t="shared" si="1"/>
        <v>0.63560994328282772</v>
      </c>
      <c r="C9" s="5">
        <f t="shared" si="2"/>
        <v>-0.63560994328282772</v>
      </c>
      <c r="D9" s="5">
        <f t="shared" si="0"/>
        <v>0.72222222222222276</v>
      </c>
      <c r="L9" s="55" t="s">
        <v>45</v>
      </c>
      <c r="M9" s="55"/>
      <c r="N9" s="55"/>
      <c r="O9" s="55"/>
      <c r="P9" s="55"/>
    </row>
    <row r="10" spans="1:26" x14ac:dyDescent="0.3">
      <c r="A10" s="7">
        <v>-0.60000000000000098</v>
      </c>
      <c r="B10" s="7">
        <f t="shared" si="1"/>
        <v>0.67527772064536495</v>
      </c>
      <c r="C10" s="7">
        <f t="shared" si="2"/>
        <v>-0.67527772064536495</v>
      </c>
      <c r="D10" s="7">
        <f t="shared" si="0"/>
        <v>0.6666666666666673</v>
      </c>
      <c r="L10" s="27" t="s">
        <v>40</v>
      </c>
      <c r="M10" s="27" t="s">
        <v>41</v>
      </c>
      <c r="N10" s="28"/>
      <c r="O10" s="27" t="s">
        <v>40</v>
      </c>
      <c r="P10" s="27" t="s">
        <v>41</v>
      </c>
    </row>
    <row r="11" spans="1:26" x14ac:dyDescent="0.3">
      <c r="A11" s="5">
        <v>-0.500000000000001</v>
      </c>
      <c r="B11" s="5">
        <f t="shared" si="1"/>
        <v>0.70710678118654724</v>
      </c>
      <c r="C11" s="5">
        <f t="shared" si="2"/>
        <v>-0.70710678118654724</v>
      </c>
      <c r="D11" s="5">
        <f t="shared" si="0"/>
        <v>0.61111111111111172</v>
      </c>
      <c r="L11" s="38">
        <f>5*L4^2+2*M4^2 - 4</f>
        <v>-7.0716161815198575E-9</v>
      </c>
      <c r="M11" s="38">
        <f>2*L4+7*M4-1</f>
        <v>1.6100001332119973E-9</v>
      </c>
      <c r="N11" s="1"/>
      <c r="O11" s="38">
        <f>5*O4^2+2*P4^2 - 4</f>
        <v>-8.7426688111236217E-10</v>
      </c>
      <c r="P11" s="38">
        <f>2*O4+7*P4-1</f>
        <v>2.2000001820288162E-9</v>
      </c>
    </row>
    <row r="12" spans="1:26" x14ac:dyDescent="0.3">
      <c r="A12" s="5">
        <v>-0.40000000000000102</v>
      </c>
      <c r="B12" s="5">
        <f t="shared" si="1"/>
        <v>0.73212020870892491</v>
      </c>
      <c r="C12" s="5">
        <f t="shared" si="2"/>
        <v>-0.73212020870892491</v>
      </c>
      <c r="D12" s="5">
        <f t="shared" si="0"/>
        <v>0.55555555555555614</v>
      </c>
    </row>
    <row r="13" spans="1:26" x14ac:dyDescent="0.3">
      <c r="A13" s="5">
        <v>-0.30000000000000099</v>
      </c>
      <c r="B13" s="5">
        <f t="shared" si="1"/>
        <v>0.75099933422074339</v>
      </c>
      <c r="C13" s="5">
        <f t="shared" si="2"/>
        <v>-0.75099933422074339</v>
      </c>
      <c r="D13" s="5">
        <f t="shared" si="0"/>
        <v>0.50000000000000056</v>
      </c>
    </row>
    <row r="14" spans="1:26" x14ac:dyDescent="0.3">
      <c r="A14" s="5">
        <v>-0.20000000000000101</v>
      </c>
      <c r="B14" s="5">
        <f t="shared" si="1"/>
        <v>0.76419892698171188</v>
      </c>
      <c r="C14" s="5">
        <f t="shared" si="2"/>
        <v>-0.76419892698171188</v>
      </c>
      <c r="D14" s="5">
        <f t="shared" si="0"/>
        <v>0.44444444444444503</v>
      </c>
      <c r="E14" t="s">
        <v>46</v>
      </c>
      <c r="F14" t="s">
        <v>47</v>
      </c>
    </row>
    <row r="15" spans="1:26" x14ac:dyDescent="0.3">
      <c r="A15" s="5">
        <v>-9.9999999999999895E-2</v>
      </c>
      <c r="B15" s="5">
        <f t="shared" si="1"/>
        <v>0.77201036262475131</v>
      </c>
      <c r="C15" s="5">
        <f t="shared" si="2"/>
        <v>-0.77201036262475131</v>
      </c>
      <c r="D15" s="29">
        <f t="shared" si="0"/>
        <v>0.38888888888888884</v>
      </c>
      <c r="E15" s="5"/>
      <c r="F15" s="32">
        <v>-1</v>
      </c>
      <c r="G15" s="32">
        <v>-0.9</v>
      </c>
      <c r="H15" s="32">
        <v>-0.8</v>
      </c>
      <c r="I15" s="32">
        <v>-0.7</v>
      </c>
      <c r="J15" s="32">
        <v>-0.6</v>
      </c>
      <c r="K15" s="32">
        <v>-0.5</v>
      </c>
      <c r="L15" s="32">
        <v>-0.4</v>
      </c>
      <c r="M15" s="32">
        <v>-0.3</v>
      </c>
      <c r="N15" s="32">
        <v>-0.2</v>
      </c>
      <c r="O15" s="32">
        <v>-0.1</v>
      </c>
      <c r="P15" s="32">
        <v>0</v>
      </c>
      <c r="Q15" s="32">
        <v>0.1</v>
      </c>
      <c r="R15" s="32">
        <v>0.2</v>
      </c>
      <c r="S15" s="32">
        <v>0.3</v>
      </c>
      <c r="T15" s="32">
        <v>0.4</v>
      </c>
      <c r="U15" s="32">
        <v>0.5</v>
      </c>
      <c r="V15" s="32">
        <v>0.6</v>
      </c>
      <c r="W15" s="32">
        <v>0.7</v>
      </c>
      <c r="X15" s="32">
        <v>0.8</v>
      </c>
      <c r="Y15" s="32">
        <v>0.9</v>
      </c>
      <c r="Z15" s="32">
        <v>1</v>
      </c>
    </row>
    <row r="16" spans="1:26" x14ac:dyDescent="0.3">
      <c r="A16" s="5">
        <v>0</v>
      </c>
      <c r="B16" s="5">
        <f t="shared" si="1"/>
        <v>0.7745966692414834</v>
      </c>
      <c r="C16" s="5">
        <f t="shared" si="2"/>
        <v>-0.7745966692414834</v>
      </c>
      <c r="D16" s="29">
        <f t="shared" si="0"/>
        <v>0.33333333333333331</v>
      </c>
      <c r="E16" s="31">
        <v>-1</v>
      </c>
      <c r="F16" s="5">
        <f>(5*F$15^2+2*$E16^2 - 4)^2+(2*F$15+7*$E16-1)^2</f>
        <v>109</v>
      </c>
      <c r="G16" s="5">
        <f t="shared" ref="G16:Z28" si="3">(5*G$15^2+2*$E16^2 - 4)^2+(2*G$15+7*$E16-1)^2</f>
        <v>100.24250000000002</v>
      </c>
      <c r="H16" s="5">
        <f t="shared" si="3"/>
        <v>93.6</v>
      </c>
      <c r="I16" s="5">
        <f t="shared" si="3"/>
        <v>88.562500000000014</v>
      </c>
      <c r="J16" s="5">
        <f t="shared" si="3"/>
        <v>84.679999999999993</v>
      </c>
      <c r="K16" s="5">
        <f t="shared" si="3"/>
        <v>81.5625</v>
      </c>
      <c r="L16" s="5">
        <f t="shared" si="3"/>
        <v>78.88000000000001</v>
      </c>
      <c r="M16" s="5">
        <f t="shared" si="3"/>
        <v>76.362499999999997</v>
      </c>
      <c r="N16" s="5">
        <f t="shared" si="3"/>
        <v>73.8</v>
      </c>
      <c r="O16" s="5">
        <f t="shared" si="3"/>
        <v>71.04249999999999</v>
      </c>
      <c r="P16" s="5">
        <f t="shared" si="3"/>
        <v>68</v>
      </c>
      <c r="Q16" s="5">
        <f t="shared" si="3"/>
        <v>64.642499999999998</v>
      </c>
      <c r="R16" s="5">
        <f t="shared" si="3"/>
        <v>61</v>
      </c>
      <c r="S16" s="5">
        <f t="shared" si="3"/>
        <v>57.162500000000001</v>
      </c>
      <c r="T16" s="5">
        <f t="shared" si="3"/>
        <v>53.28</v>
      </c>
      <c r="U16" s="5">
        <f t="shared" si="3"/>
        <v>49.5625</v>
      </c>
      <c r="V16" s="5">
        <f t="shared" si="3"/>
        <v>46.279999999999994</v>
      </c>
      <c r="W16" s="5">
        <f t="shared" si="3"/>
        <v>43.762499999999996</v>
      </c>
      <c r="X16" s="5">
        <f t="shared" si="3"/>
        <v>42.400000000000013</v>
      </c>
      <c r="Y16" s="5">
        <f t="shared" si="3"/>
        <v>42.642500000000005</v>
      </c>
      <c r="Z16" s="5">
        <f t="shared" si="3"/>
        <v>45</v>
      </c>
    </row>
    <row r="17" spans="1:26" x14ac:dyDescent="0.3">
      <c r="A17" s="5">
        <v>0.1</v>
      </c>
      <c r="B17" s="5">
        <f t="shared" si="1"/>
        <v>0.77201036262475131</v>
      </c>
      <c r="C17" s="5">
        <f t="shared" si="2"/>
        <v>-0.77201036262475131</v>
      </c>
      <c r="D17" s="29">
        <f t="shared" si="0"/>
        <v>0.27777777777777779</v>
      </c>
      <c r="E17" s="31">
        <v>-0.9</v>
      </c>
      <c r="F17" s="5">
        <f t="shared" ref="F17:U36" si="4">(5*F$15^2+2*$E17^2 - 4)^2+(2*F$15+7*$E17-1)^2</f>
        <v>93.354400000000012</v>
      </c>
      <c r="G17" s="5">
        <f t="shared" si="3"/>
        <v>85.598899999999986</v>
      </c>
      <c r="H17" s="5">
        <f t="shared" si="3"/>
        <v>79.882400000000004</v>
      </c>
      <c r="I17" s="5">
        <f t="shared" si="3"/>
        <v>75.69489999999999</v>
      </c>
      <c r="J17" s="5">
        <f t="shared" si="3"/>
        <v>72.586399999999998</v>
      </c>
      <c r="K17" s="5">
        <f t="shared" si="3"/>
        <v>70.166900000000012</v>
      </c>
      <c r="L17" s="5">
        <f t="shared" si="3"/>
        <v>68.106399999999994</v>
      </c>
      <c r="M17" s="5">
        <f t="shared" si="3"/>
        <v>66.134899999999988</v>
      </c>
      <c r="N17" s="5">
        <f t="shared" si="3"/>
        <v>64.042400000000001</v>
      </c>
      <c r="O17" s="5">
        <f t="shared" si="3"/>
        <v>61.678899999999999</v>
      </c>
      <c r="P17" s="5">
        <f t="shared" si="3"/>
        <v>58.9544</v>
      </c>
      <c r="Q17" s="5">
        <f t="shared" si="3"/>
        <v>55.838899999999995</v>
      </c>
      <c r="R17" s="5">
        <f t="shared" si="3"/>
        <v>52.362399999999994</v>
      </c>
      <c r="S17" s="5">
        <f t="shared" si="3"/>
        <v>48.614899999999999</v>
      </c>
      <c r="T17" s="5">
        <f t="shared" si="3"/>
        <v>44.746400000000001</v>
      </c>
      <c r="U17" s="5">
        <f t="shared" si="3"/>
        <v>40.966899999999995</v>
      </c>
      <c r="V17" s="5">
        <f t="shared" si="3"/>
        <v>37.546399999999991</v>
      </c>
      <c r="W17" s="5">
        <f t="shared" si="3"/>
        <v>34.814900000000002</v>
      </c>
      <c r="X17" s="5">
        <f t="shared" si="3"/>
        <v>33.162399999999998</v>
      </c>
      <c r="Y17" s="5">
        <f t="shared" si="3"/>
        <v>33.038900000000005</v>
      </c>
      <c r="Z17" s="5">
        <f t="shared" si="3"/>
        <v>34.9544</v>
      </c>
    </row>
    <row r="18" spans="1:26" x14ac:dyDescent="0.3">
      <c r="A18" s="5">
        <v>0.2</v>
      </c>
      <c r="B18" s="5">
        <f t="shared" si="1"/>
        <v>0.76419892698171199</v>
      </c>
      <c r="C18" s="5">
        <f t="shared" si="2"/>
        <v>-0.76419892698171199</v>
      </c>
      <c r="D18" s="29">
        <f t="shared" si="0"/>
        <v>0.22222222222222221</v>
      </c>
      <c r="E18" s="31">
        <v>-0.8</v>
      </c>
      <c r="F18" s="5">
        <f t="shared" si="4"/>
        <v>79.158400000000029</v>
      </c>
      <c r="G18" s="5">
        <f t="shared" si="3"/>
        <v>72.328900000000004</v>
      </c>
      <c r="H18" s="5">
        <f t="shared" si="3"/>
        <v>67.470400000000026</v>
      </c>
      <c r="I18" s="5">
        <f t="shared" si="3"/>
        <v>64.072900000000004</v>
      </c>
      <c r="J18" s="5">
        <f t="shared" si="3"/>
        <v>61.686400000000013</v>
      </c>
      <c r="K18" s="5">
        <f t="shared" si="3"/>
        <v>59.920900000000003</v>
      </c>
      <c r="L18" s="5">
        <f t="shared" si="3"/>
        <v>58.446400000000004</v>
      </c>
      <c r="M18" s="5">
        <f t="shared" si="3"/>
        <v>56.992899999999999</v>
      </c>
      <c r="N18" s="5">
        <f t="shared" si="3"/>
        <v>55.350400000000015</v>
      </c>
      <c r="O18" s="5">
        <f t="shared" si="3"/>
        <v>53.368900000000011</v>
      </c>
      <c r="P18" s="5">
        <f t="shared" si="3"/>
        <v>50.958400000000012</v>
      </c>
      <c r="Q18" s="5">
        <f t="shared" si="3"/>
        <v>48.08890000000001</v>
      </c>
      <c r="R18" s="5">
        <f t="shared" si="3"/>
        <v>44.790400000000005</v>
      </c>
      <c r="S18" s="5">
        <f t="shared" si="3"/>
        <v>41.15290000000001</v>
      </c>
      <c r="T18" s="5">
        <f t="shared" si="3"/>
        <v>37.326400000000007</v>
      </c>
      <c r="U18" s="5">
        <f t="shared" si="3"/>
        <v>33.520900000000005</v>
      </c>
      <c r="V18" s="5">
        <f t="shared" si="3"/>
        <v>30.006400000000003</v>
      </c>
      <c r="W18" s="5">
        <f t="shared" si="3"/>
        <v>27.11290000000001</v>
      </c>
      <c r="X18" s="5">
        <f t="shared" si="3"/>
        <v>25.230399999999999</v>
      </c>
      <c r="Y18" s="5">
        <f t="shared" si="3"/>
        <v>24.808900000000008</v>
      </c>
      <c r="Z18" s="5">
        <f t="shared" si="3"/>
        <v>26.358400000000003</v>
      </c>
    </row>
    <row r="19" spans="1:26" x14ac:dyDescent="0.3">
      <c r="A19" s="5">
        <v>0.3</v>
      </c>
      <c r="B19" s="5">
        <f t="shared" si="1"/>
        <v>0.7509993342207435</v>
      </c>
      <c r="C19" s="5">
        <f t="shared" si="2"/>
        <v>-0.7509993342207435</v>
      </c>
      <c r="D19" s="29">
        <f t="shared" si="0"/>
        <v>0.16666666666666666</v>
      </c>
      <c r="E19" s="31">
        <v>-0.7</v>
      </c>
      <c r="F19" s="5">
        <f t="shared" si="4"/>
        <v>66.330399999999983</v>
      </c>
      <c r="G19" s="5">
        <f t="shared" si="3"/>
        <v>60.350899999999996</v>
      </c>
      <c r="H19" s="5">
        <f t="shared" si="3"/>
        <v>56.282400000000003</v>
      </c>
      <c r="I19" s="5">
        <f t="shared" si="3"/>
        <v>53.614899999999984</v>
      </c>
      <c r="J19" s="5">
        <f t="shared" si="3"/>
        <v>51.898399999999995</v>
      </c>
      <c r="K19" s="5">
        <f t="shared" si="3"/>
        <v>50.742899999999992</v>
      </c>
      <c r="L19" s="5">
        <f t="shared" si="3"/>
        <v>49.81839999999999</v>
      </c>
      <c r="M19" s="5">
        <f t="shared" si="3"/>
        <v>48.854899999999986</v>
      </c>
      <c r="N19" s="5">
        <f t="shared" si="3"/>
        <v>47.642400000000002</v>
      </c>
      <c r="O19" s="5">
        <f t="shared" si="3"/>
        <v>46.030899999999995</v>
      </c>
      <c r="P19" s="5">
        <f t="shared" si="3"/>
        <v>43.930399999999992</v>
      </c>
      <c r="Q19" s="5">
        <f t="shared" si="3"/>
        <v>41.310899999999997</v>
      </c>
      <c r="R19" s="5">
        <f t="shared" si="3"/>
        <v>38.20239999999999</v>
      </c>
      <c r="S19" s="5">
        <f t="shared" si="3"/>
        <v>34.694900000000004</v>
      </c>
      <c r="T19" s="5">
        <f t="shared" si="3"/>
        <v>30.938399999999998</v>
      </c>
      <c r="U19" s="5">
        <f t="shared" si="3"/>
        <v>27.142899999999994</v>
      </c>
      <c r="V19" s="5">
        <f t="shared" si="3"/>
        <v>23.578399999999995</v>
      </c>
      <c r="W19" s="5">
        <f t="shared" si="3"/>
        <v>20.5749</v>
      </c>
      <c r="X19" s="5">
        <f t="shared" si="3"/>
        <v>18.52239999999999</v>
      </c>
      <c r="Y19" s="5">
        <f t="shared" si="3"/>
        <v>17.870899999999999</v>
      </c>
      <c r="Z19" s="5">
        <f t="shared" si="3"/>
        <v>19.130399999999995</v>
      </c>
    </row>
    <row r="20" spans="1:26" x14ac:dyDescent="0.3">
      <c r="A20" s="5">
        <v>0.4</v>
      </c>
      <c r="B20" s="5">
        <f t="shared" si="1"/>
        <v>0.73212020870892502</v>
      </c>
      <c r="C20" s="5">
        <f t="shared" si="2"/>
        <v>-0.73212020870892502</v>
      </c>
      <c r="D20" s="29">
        <f t="shared" si="0"/>
        <v>0.1111111111111111</v>
      </c>
      <c r="E20" s="31">
        <v>-0.6</v>
      </c>
      <c r="F20" s="5">
        <f t="shared" si="4"/>
        <v>54.798400000000001</v>
      </c>
      <c r="G20" s="5">
        <f t="shared" si="3"/>
        <v>49.5929</v>
      </c>
      <c r="H20" s="5">
        <f t="shared" si="3"/>
        <v>46.246400000000008</v>
      </c>
      <c r="I20" s="5">
        <f t="shared" si="3"/>
        <v>44.248899999999992</v>
      </c>
      <c r="J20" s="5">
        <f t="shared" si="3"/>
        <v>43.150400000000012</v>
      </c>
      <c r="K20" s="5">
        <f t="shared" si="3"/>
        <v>42.560900000000004</v>
      </c>
      <c r="L20" s="5">
        <f t="shared" si="3"/>
        <v>42.150399999999998</v>
      </c>
      <c r="M20" s="5">
        <f t="shared" si="3"/>
        <v>41.648899999999998</v>
      </c>
      <c r="N20" s="5">
        <f t="shared" si="3"/>
        <v>40.846400000000003</v>
      </c>
      <c r="O20" s="5">
        <f t="shared" si="3"/>
        <v>39.5929</v>
      </c>
      <c r="P20" s="5">
        <f t="shared" si="3"/>
        <v>37.798400000000001</v>
      </c>
      <c r="Q20" s="5">
        <f t="shared" si="3"/>
        <v>35.432900000000004</v>
      </c>
      <c r="R20" s="5">
        <f t="shared" si="3"/>
        <v>32.52640000000001</v>
      </c>
      <c r="S20" s="5">
        <f t="shared" si="3"/>
        <v>29.168899999999997</v>
      </c>
      <c r="T20" s="5">
        <f t="shared" si="3"/>
        <v>25.510400000000004</v>
      </c>
      <c r="U20" s="5">
        <f t="shared" si="3"/>
        <v>21.760899999999999</v>
      </c>
      <c r="V20" s="5">
        <f t="shared" si="3"/>
        <v>18.1904</v>
      </c>
      <c r="W20" s="5">
        <f t="shared" si="3"/>
        <v>15.128900000000002</v>
      </c>
      <c r="X20" s="5">
        <f t="shared" si="3"/>
        <v>12.9664</v>
      </c>
      <c r="Y20" s="5">
        <f t="shared" si="3"/>
        <v>12.152900000000002</v>
      </c>
      <c r="Z20" s="5">
        <f t="shared" si="3"/>
        <v>13.198400000000001</v>
      </c>
    </row>
    <row r="21" spans="1:26" x14ac:dyDescent="0.3">
      <c r="A21" s="5">
        <v>0.5</v>
      </c>
      <c r="B21" s="5">
        <f t="shared" si="1"/>
        <v>0.70710678118654757</v>
      </c>
      <c r="C21" s="5">
        <f t="shared" si="2"/>
        <v>-0.70710678118654757</v>
      </c>
      <c r="D21" s="29">
        <f t="shared" si="0"/>
        <v>5.5555555555555552E-2</v>
      </c>
      <c r="E21" s="31">
        <v>-0.5</v>
      </c>
      <c r="F21" s="5">
        <f t="shared" si="4"/>
        <v>44.5</v>
      </c>
      <c r="G21" s="5">
        <f t="shared" si="3"/>
        <v>39.9925</v>
      </c>
      <c r="H21" s="5">
        <f t="shared" si="3"/>
        <v>37.29999999999999</v>
      </c>
      <c r="I21" s="5">
        <f t="shared" si="3"/>
        <v>35.912500000000001</v>
      </c>
      <c r="J21" s="5">
        <f t="shared" si="3"/>
        <v>35.380000000000003</v>
      </c>
      <c r="K21" s="5">
        <f t="shared" si="3"/>
        <v>35.3125</v>
      </c>
      <c r="L21" s="5">
        <f t="shared" si="3"/>
        <v>35.379999999999995</v>
      </c>
      <c r="M21" s="5">
        <f t="shared" si="3"/>
        <v>35.3125</v>
      </c>
      <c r="N21" s="5">
        <f t="shared" si="3"/>
        <v>34.900000000000006</v>
      </c>
      <c r="O21" s="5">
        <f t="shared" si="3"/>
        <v>33.992500000000007</v>
      </c>
      <c r="P21" s="5">
        <f t="shared" si="3"/>
        <v>32.5</v>
      </c>
      <c r="Q21" s="5">
        <f t="shared" si="3"/>
        <v>30.392499999999998</v>
      </c>
      <c r="R21" s="5">
        <f t="shared" si="3"/>
        <v>27.699999999999996</v>
      </c>
      <c r="S21" s="5">
        <f t="shared" si="3"/>
        <v>24.512499999999996</v>
      </c>
      <c r="T21" s="5">
        <f t="shared" si="3"/>
        <v>20.98</v>
      </c>
      <c r="U21" s="5">
        <f t="shared" si="3"/>
        <v>17.3125</v>
      </c>
      <c r="V21" s="5">
        <f t="shared" si="3"/>
        <v>13.78</v>
      </c>
      <c r="W21" s="5">
        <f t="shared" si="3"/>
        <v>10.712500000000002</v>
      </c>
      <c r="X21" s="5">
        <f t="shared" si="3"/>
        <v>8.5</v>
      </c>
      <c r="Y21" s="5">
        <f t="shared" si="3"/>
        <v>7.592500000000002</v>
      </c>
      <c r="Z21" s="5">
        <f t="shared" si="3"/>
        <v>8.5</v>
      </c>
    </row>
    <row r="22" spans="1:26" x14ac:dyDescent="0.3">
      <c r="A22" s="5">
        <v>0.6</v>
      </c>
      <c r="B22" s="5">
        <f t="shared" si="1"/>
        <v>0.67527772064536529</v>
      </c>
      <c r="C22" s="5">
        <f t="shared" si="2"/>
        <v>-0.67527772064536529</v>
      </c>
      <c r="D22" s="29">
        <f t="shared" si="0"/>
        <v>0</v>
      </c>
      <c r="E22" s="31">
        <v>-0.4</v>
      </c>
      <c r="F22" s="5">
        <f t="shared" si="4"/>
        <v>35.382400000000011</v>
      </c>
      <c r="G22" s="5">
        <f t="shared" si="3"/>
        <v>31.496900000000007</v>
      </c>
      <c r="H22" s="5">
        <f t="shared" si="3"/>
        <v>29.390400000000003</v>
      </c>
      <c r="I22" s="5">
        <f t="shared" si="3"/>
        <v>28.552900000000005</v>
      </c>
      <c r="J22" s="5">
        <f t="shared" si="3"/>
        <v>28.534399999999998</v>
      </c>
      <c r="K22" s="5">
        <f t="shared" si="3"/>
        <v>28.944900000000004</v>
      </c>
      <c r="L22" s="5">
        <f t="shared" si="3"/>
        <v>29.454400000000003</v>
      </c>
      <c r="M22" s="5">
        <f t="shared" si="3"/>
        <v>29.792900000000003</v>
      </c>
      <c r="N22" s="5">
        <f t="shared" si="3"/>
        <v>29.750399999999999</v>
      </c>
      <c r="O22" s="5">
        <f t="shared" si="3"/>
        <v>29.1769</v>
      </c>
      <c r="P22" s="5">
        <f t="shared" si="3"/>
        <v>27.982399999999998</v>
      </c>
      <c r="Q22" s="5">
        <f t="shared" si="3"/>
        <v>26.136900000000001</v>
      </c>
      <c r="R22" s="5">
        <f t="shared" si="3"/>
        <v>23.670400000000001</v>
      </c>
      <c r="S22" s="5">
        <f t="shared" si="3"/>
        <v>20.672900000000002</v>
      </c>
      <c r="T22" s="5">
        <f t="shared" si="3"/>
        <v>17.2944</v>
      </c>
      <c r="U22" s="5">
        <f t="shared" si="3"/>
        <v>13.744900000000001</v>
      </c>
      <c r="V22" s="5">
        <f t="shared" si="3"/>
        <v>10.294400000000003</v>
      </c>
      <c r="W22" s="5">
        <f t="shared" si="3"/>
        <v>7.2729000000000026</v>
      </c>
      <c r="X22" s="5">
        <f t="shared" si="3"/>
        <v>5.0704000000000002</v>
      </c>
      <c r="Y22" s="5">
        <f t="shared" si="3"/>
        <v>4.1369000000000007</v>
      </c>
      <c r="Z22" s="5">
        <f t="shared" si="3"/>
        <v>4.9824000000000019</v>
      </c>
    </row>
    <row r="23" spans="1:26" x14ac:dyDescent="0.3">
      <c r="A23" s="5">
        <v>0.7</v>
      </c>
      <c r="B23" s="5">
        <f t="shared" si="1"/>
        <v>0.63560994328282816</v>
      </c>
      <c r="C23" s="5">
        <f t="shared" si="2"/>
        <v>-0.63560994328282816</v>
      </c>
      <c r="D23" s="29">
        <f t="shared" si="0"/>
        <v>-5.5555555555555552E-2</v>
      </c>
      <c r="E23" s="31">
        <v>-0.3</v>
      </c>
      <c r="F23" s="5">
        <f t="shared" si="4"/>
        <v>27.402399999999997</v>
      </c>
      <c r="G23" s="5">
        <f t="shared" si="3"/>
        <v>24.062900000000006</v>
      </c>
      <c r="H23" s="5">
        <f t="shared" si="3"/>
        <v>22.474400000000003</v>
      </c>
      <c r="I23" s="5">
        <f t="shared" si="3"/>
        <v>22.126899999999999</v>
      </c>
      <c r="J23" s="5">
        <f t="shared" si="3"/>
        <v>22.570399999999999</v>
      </c>
      <c r="K23" s="5">
        <f t="shared" si="3"/>
        <v>23.414899999999999</v>
      </c>
      <c r="L23" s="5">
        <f t="shared" si="3"/>
        <v>24.330400000000001</v>
      </c>
      <c r="M23" s="5">
        <f t="shared" si="3"/>
        <v>25.046900000000001</v>
      </c>
      <c r="N23" s="5">
        <f t="shared" si="3"/>
        <v>25.354399999999998</v>
      </c>
      <c r="O23" s="5">
        <f t="shared" si="3"/>
        <v>25.102900000000002</v>
      </c>
      <c r="P23" s="5">
        <f t="shared" si="3"/>
        <v>24.202400000000001</v>
      </c>
      <c r="Q23" s="5">
        <f t="shared" si="3"/>
        <v>22.622900000000001</v>
      </c>
      <c r="R23" s="5">
        <f t="shared" si="3"/>
        <v>20.394400000000001</v>
      </c>
      <c r="S23" s="5">
        <f t="shared" si="3"/>
        <v>17.606900000000003</v>
      </c>
      <c r="T23" s="5">
        <f t="shared" si="3"/>
        <v>14.410399999999997</v>
      </c>
      <c r="U23" s="5">
        <f t="shared" si="3"/>
        <v>11.014900000000001</v>
      </c>
      <c r="V23" s="5">
        <f t="shared" si="3"/>
        <v>7.6904000000000021</v>
      </c>
      <c r="W23" s="5">
        <f t="shared" si="3"/>
        <v>4.7669000000000006</v>
      </c>
      <c r="X23" s="5">
        <f t="shared" si="3"/>
        <v>2.634399999999999</v>
      </c>
      <c r="Y23" s="5">
        <f t="shared" si="3"/>
        <v>1.7429000000000003</v>
      </c>
      <c r="Z23" s="5">
        <f t="shared" si="3"/>
        <v>2.6023999999999994</v>
      </c>
    </row>
    <row r="24" spans="1:26" x14ac:dyDescent="0.3">
      <c r="A24" s="5">
        <v>0.8</v>
      </c>
      <c r="B24" s="5">
        <f t="shared" si="1"/>
        <v>0.58651513194460714</v>
      </c>
      <c r="C24" s="5">
        <f t="shared" si="2"/>
        <v>-0.58651513194460714</v>
      </c>
      <c r="D24" s="29">
        <f t="shared" si="0"/>
        <v>-0.1111111111111111</v>
      </c>
      <c r="E24" s="31">
        <v>-0.2</v>
      </c>
      <c r="F24" s="5">
        <f t="shared" si="4"/>
        <v>20.526400000000002</v>
      </c>
      <c r="G24" s="5">
        <f t="shared" si="3"/>
        <v>17.6569</v>
      </c>
      <c r="H24" s="5">
        <f t="shared" si="3"/>
        <v>16.5184</v>
      </c>
      <c r="I24" s="5">
        <f t="shared" si="3"/>
        <v>16.600899999999999</v>
      </c>
      <c r="J24" s="5">
        <f t="shared" si="3"/>
        <v>17.4544</v>
      </c>
      <c r="K24" s="5">
        <f t="shared" si="3"/>
        <v>18.688900000000004</v>
      </c>
      <c r="L24" s="5">
        <f t="shared" si="3"/>
        <v>19.974400000000003</v>
      </c>
      <c r="M24" s="5">
        <f t="shared" si="3"/>
        <v>21.040900000000001</v>
      </c>
      <c r="N24" s="5">
        <f t="shared" si="3"/>
        <v>21.6784</v>
      </c>
      <c r="O24" s="5">
        <f t="shared" si="3"/>
        <v>21.736900000000002</v>
      </c>
      <c r="P24" s="5">
        <f t="shared" si="3"/>
        <v>21.1264</v>
      </c>
      <c r="Q24" s="5">
        <f t="shared" si="3"/>
        <v>19.8169</v>
      </c>
      <c r="R24" s="5">
        <f t="shared" si="3"/>
        <v>17.8384</v>
      </c>
      <c r="S24" s="5">
        <f t="shared" si="3"/>
        <v>15.280899999999999</v>
      </c>
      <c r="T24" s="5">
        <f t="shared" si="3"/>
        <v>12.294400000000001</v>
      </c>
      <c r="U24" s="5">
        <f t="shared" si="3"/>
        <v>9.0889000000000006</v>
      </c>
      <c r="V24" s="5">
        <f t="shared" si="3"/>
        <v>5.934400000000001</v>
      </c>
      <c r="W24" s="5">
        <f t="shared" si="3"/>
        <v>3.1609000000000012</v>
      </c>
      <c r="X24" s="5">
        <f t="shared" si="3"/>
        <v>1.158399999999999</v>
      </c>
      <c r="Y24" s="18">
        <f t="shared" si="3"/>
        <v>0.37690000000000029</v>
      </c>
      <c r="Z24" s="5">
        <f t="shared" si="3"/>
        <v>1.3264000000000002</v>
      </c>
    </row>
    <row r="25" spans="1:26" x14ac:dyDescent="0.3">
      <c r="A25" s="5">
        <v>0.9</v>
      </c>
      <c r="B25" s="5">
        <f>((3-2*A25^2)/5)^0.5</f>
        <v>0.52535702146254781</v>
      </c>
      <c r="C25" s="5">
        <f>-SQRT((3-2*A25^2)/5)</f>
        <v>-0.52535702146254781</v>
      </c>
      <c r="D25" s="29">
        <f t="shared" ref="D25:D28" si="5">(3-5*A25)/9</f>
        <v>-0.16666666666666666</v>
      </c>
      <c r="E25" s="31">
        <v>-0.1</v>
      </c>
      <c r="F25" s="5">
        <f t="shared" si="4"/>
        <v>14.730399999999999</v>
      </c>
      <c r="G25" s="5">
        <f t="shared" si="3"/>
        <v>12.254899999999999</v>
      </c>
      <c r="H25" s="5">
        <f t="shared" si="3"/>
        <v>11.498400000000002</v>
      </c>
      <c r="I25" s="5">
        <f t="shared" si="3"/>
        <v>11.950900000000003</v>
      </c>
      <c r="J25" s="5">
        <f t="shared" si="3"/>
        <v>13.162400000000002</v>
      </c>
      <c r="K25" s="5">
        <f t="shared" si="3"/>
        <v>14.742900000000001</v>
      </c>
      <c r="L25" s="5">
        <f t="shared" si="3"/>
        <v>16.362399999999997</v>
      </c>
      <c r="M25" s="5">
        <f t="shared" si="3"/>
        <v>17.750900000000001</v>
      </c>
      <c r="N25" s="5">
        <f t="shared" si="3"/>
        <v>18.698399999999999</v>
      </c>
      <c r="O25" s="5">
        <f t="shared" si="3"/>
        <v>19.0549</v>
      </c>
      <c r="P25" s="5">
        <f t="shared" si="3"/>
        <v>18.730400000000003</v>
      </c>
      <c r="Q25" s="5">
        <f t="shared" si="3"/>
        <v>17.694900000000001</v>
      </c>
      <c r="R25" s="5">
        <f t="shared" si="3"/>
        <v>15.978399999999999</v>
      </c>
      <c r="S25" s="5">
        <f t="shared" si="3"/>
        <v>13.670900000000003</v>
      </c>
      <c r="T25" s="5">
        <f t="shared" si="3"/>
        <v>10.922399999999998</v>
      </c>
      <c r="U25" s="5">
        <f t="shared" si="3"/>
        <v>7.9428999999999998</v>
      </c>
      <c r="V25" s="5">
        <f t="shared" si="3"/>
        <v>5.0024000000000006</v>
      </c>
      <c r="W25" s="5">
        <f t="shared" si="3"/>
        <v>2.4309000000000012</v>
      </c>
      <c r="X25" s="18">
        <f t="shared" si="3"/>
        <v>0.61839999999999906</v>
      </c>
      <c r="Y25" s="43">
        <f t="shared" si="3"/>
        <v>1.4900000000000057E-2</v>
      </c>
      <c r="Z25" s="18">
        <f t="shared" si="3"/>
        <v>1.130399999999999</v>
      </c>
    </row>
    <row r="26" spans="1:26" x14ac:dyDescent="0.3">
      <c r="A26" s="5">
        <v>1</v>
      </c>
      <c r="B26" s="5">
        <f t="shared" ref="B26:B28" si="6">SQRT((3-2*A26^2)/5)</f>
        <v>0.44721359549995793</v>
      </c>
      <c r="C26" s="5">
        <f t="shared" ref="C26:C28" si="7">-SQRT((3-2*A26^2)/5)</f>
        <v>-0.44721359549995793</v>
      </c>
      <c r="D26" s="29">
        <f t="shared" si="5"/>
        <v>-0.22222222222222221</v>
      </c>
      <c r="E26" s="31">
        <v>0</v>
      </c>
      <c r="F26" s="5">
        <f t="shared" si="4"/>
        <v>10</v>
      </c>
      <c r="G26" s="5">
        <f t="shared" si="3"/>
        <v>7.8424999999999994</v>
      </c>
      <c r="H26" s="5">
        <f t="shared" si="3"/>
        <v>7.3999999999999995</v>
      </c>
      <c r="I26" s="5">
        <f t="shared" si="3"/>
        <v>8.1625000000000014</v>
      </c>
      <c r="J26" s="5">
        <f t="shared" si="3"/>
        <v>9.6800000000000015</v>
      </c>
      <c r="K26" s="5">
        <f t="shared" si="3"/>
        <v>11.5625</v>
      </c>
      <c r="L26" s="5">
        <f t="shared" si="3"/>
        <v>13.479999999999999</v>
      </c>
      <c r="M26" s="5">
        <f t="shared" si="3"/>
        <v>15.1625</v>
      </c>
      <c r="N26" s="5">
        <f t="shared" si="3"/>
        <v>16.399999999999999</v>
      </c>
      <c r="O26" s="5">
        <f t="shared" si="3"/>
        <v>17.0425</v>
      </c>
      <c r="P26" s="5">
        <f t="shared" si="3"/>
        <v>17</v>
      </c>
      <c r="Q26" s="5">
        <f t="shared" si="3"/>
        <v>16.2425</v>
      </c>
      <c r="R26" s="5">
        <f t="shared" si="3"/>
        <v>14.799999999999999</v>
      </c>
      <c r="S26" s="5">
        <f t="shared" si="3"/>
        <v>12.762499999999999</v>
      </c>
      <c r="T26" s="5">
        <f t="shared" si="3"/>
        <v>10.279999999999998</v>
      </c>
      <c r="U26" s="5">
        <f t="shared" si="3"/>
        <v>7.5625</v>
      </c>
      <c r="V26" s="5">
        <f t="shared" si="3"/>
        <v>4.8800000000000008</v>
      </c>
      <c r="W26" s="5">
        <f t="shared" si="3"/>
        <v>2.5625000000000009</v>
      </c>
      <c r="X26" s="5">
        <f t="shared" si="3"/>
        <v>0.99999999999999911</v>
      </c>
      <c r="Y26" s="18">
        <f t="shared" si="3"/>
        <v>0.64250000000000018</v>
      </c>
      <c r="Z26" s="5">
        <f t="shared" si="3"/>
        <v>2</v>
      </c>
    </row>
    <row r="27" spans="1:26" x14ac:dyDescent="0.3">
      <c r="A27" s="26">
        <v>1.1000000000000001</v>
      </c>
      <c r="B27" s="26">
        <f t="shared" si="6"/>
        <v>0.34058772731852793</v>
      </c>
      <c r="C27" s="26">
        <f t="shared" si="7"/>
        <v>-0.34058772731852793</v>
      </c>
      <c r="D27" s="30">
        <f t="shared" si="5"/>
        <v>-0.27777777777777779</v>
      </c>
      <c r="E27" s="31">
        <v>0.1</v>
      </c>
      <c r="F27" s="5">
        <f t="shared" si="4"/>
        <v>6.3303999999999983</v>
      </c>
      <c r="G27" s="5">
        <f t="shared" si="3"/>
        <v>4.4149000000000003</v>
      </c>
      <c r="H27" s="5">
        <f t="shared" si="3"/>
        <v>4.218399999999999</v>
      </c>
      <c r="I27" s="5">
        <f t="shared" si="3"/>
        <v>5.2309000000000001</v>
      </c>
      <c r="J27" s="5">
        <f t="shared" si="3"/>
        <v>7.0024000000000006</v>
      </c>
      <c r="K27" s="5">
        <f t="shared" si="3"/>
        <v>9.1428999999999991</v>
      </c>
      <c r="L27" s="5">
        <f t="shared" si="3"/>
        <v>11.322399999999998</v>
      </c>
      <c r="M27" s="5">
        <f t="shared" si="3"/>
        <v>13.270900000000003</v>
      </c>
      <c r="N27" s="5">
        <f t="shared" si="3"/>
        <v>14.7784</v>
      </c>
      <c r="O27" s="5">
        <f t="shared" si="3"/>
        <v>15.694900000000001</v>
      </c>
      <c r="P27" s="5">
        <f t="shared" si="3"/>
        <v>15.930400000000001</v>
      </c>
      <c r="Q27" s="5">
        <f t="shared" si="3"/>
        <v>15.4549</v>
      </c>
      <c r="R27" s="5">
        <f t="shared" si="3"/>
        <v>14.298399999999999</v>
      </c>
      <c r="S27" s="5">
        <f t="shared" si="3"/>
        <v>12.550900000000002</v>
      </c>
      <c r="T27" s="5">
        <f t="shared" si="3"/>
        <v>10.362399999999997</v>
      </c>
      <c r="U27" s="5">
        <f t="shared" si="3"/>
        <v>7.9428999999999998</v>
      </c>
      <c r="V27" s="5">
        <f t="shared" si="3"/>
        <v>5.5624000000000002</v>
      </c>
      <c r="W27" s="5">
        <f t="shared" si="3"/>
        <v>3.5509000000000013</v>
      </c>
      <c r="X27" s="5">
        <f t="shared" si="3"/>
        <v>2.2983999999999996</v>
      </c>
      <c r="Y27" s="5">
        <f t="shared" si="3"/>
        <v>2.2549000000000001</v>
      </c>
      <c r="Z27" s="5">
        <f t="shared" si="3"/>
        <v>3.9303999999999997</v>
      </c>
    </row>
    <row r="28" spans="1:26" x14ac:dyDescent="0.3">
      <c r="A28" s="5">
        <v>1.2</v>
      </c>
      <c r="B28" s="5">
        <f t="shared" si="6"/>
        <v>0.15491933384829673</v>
      </c>
      <c r="C28" s="5">
        <f t="shared" si="7"/>
        <v>-0.15491933384829673</v>
      </c>
      <c r="D28" s="29">
        <f t="shared" si="5"/>
        <v>-0.33333333333333331</v>
      </c>
      <c r="E28" s="31">
        <v>0.2</v>
      </c>
      <c r="F28" s="5">
        <f t="shared" si="4"/>
        <v>3.7263999999999999</v>
      </c>
      <c r="G28" s="5">
        <f t="shared" si="3"/>
        <v>1.9768999999999999</v>
      </c>
      <c r="H28" s="5">
        <f t="shared" si="3"/>
        <v>1.9583999999999988</v>
      </c>
      <c r="I28" s="5">
        <f t="shared" si="3"/>
        <v>3.1609000000000003</v>
      </c>
      <c r="J28" s="5">
        <f t="shared" si="3"/>
        <v>5.1344000000000003</v>
      </c>
      <c r="K28" s="5">
        <f t="shared" si="3"/>
        <v>7.4888999999999992</v>
      </c>
      <c r="L28" s="7">
        <f t="shared" si="3"/>
        <v>9.894400000000001</v>
      </c>
      <c r="M28" s="5">
        <f t="shared" si="3"/>
        <v>12.080899999999998</v>
      </c>
      <c r="N28" s="5">
        <f t="shared" si="3"/>
        <v>13.838399999999998</v>
      </c>
      <c r="O28" s="5">
        <f t="shared" si="3"/>
        <v>15.016900000000001</v>
      </c>
      <c r="P28" s="5">
        <f t="shared" si="3"/>
        <v>15.526399999999999</v>
      </c>
      <c r="Q28" s="5">
        <f t="shared" si="3"/>
        <v>15.3369</v>
      </c>
      <c r="R28" s="5">
        <f t="shared" si="3"/>
        <v>14.478399999999999</v>
      </c>
      <c r="S28" s="5">
        <f t="shared" si="3"/>
        <v>13.040899999999999</v>
      </c>
      <c r="T28" s="5">
        <f t="shared" si="3"/>
        <v>11.174400000000002</v>
      </c>
      <c r="U28" s="5">
        <f t="shared" si="3"/>
        <v>9.0889000000000006</v>
      </c>
      <c r="V28" s="5">
        <f t="shared" ref="V28:Z36" si="8">(5*V$15^2+2*$E28^2 - 4)^2+(2*V$15+7*$E28-1)^2</f>
        <v>7.0544000000000011</v>
      </c>
      <c r="W28" s="5">
        <f t="shared" si="8"/>
        <v>5.4009</v>
      </c>
      <c r="X28" s="5">
        <f t="shared" si="8"/>
        <v>4.5183999999999989</v>
      </c>
      <c r="Y28" s="5">
        <f t="shared" si="8"/>
        <v>4.8569000000000013</v>
      </c>
      <c r="Z28" s="5">
        <f t="shared" si="8"/>
        <v>6.9264000000000019</v>
      </c>
    </row>
    <row r="29" spans="1:26" x14ac:dyDescent="0.3">
      <c r="A29" s="14"/>
      <c r="B29" s="14"/>
      <c r="C29" s="14"/>
      <c r="D29" s="14"/>
      <c r="E29" s="31">
        <v>0.3</v>
      </c>
      <c r="F29" s="5">
        <f t="shared" si="4"/>
        <v>2.202399999999999</v>
      </c>
      <c r="G29" s="18">
        <f t="shared" si="4"/>
        <v>0.54290000000000016</v>
      </c>
      <c r="H29" s="5">
        <f t="shared" si="4"/>
        <v>0.63439999999999896</v>
      </c>
      <c r="I29" s="5">
        <f t="shared" si="4"/>
        <v>1.9669000000000001</v>
      </c>
      <c r="J29" s="5">
        <f t="shared" si="4"/>
        <v>4.0904000000000016</v>
      </c>
      <c r="K29" s="5">
        <f t="shared" si="4"/>
        <v>6.6149000000000013</v>
      </c>
      <c r="L29" s="5">
        <f t="shared" si="4"/>
        <v>9.2103999999999981</v>
      </c>
      <c r="M29" s="5">
        <f t="shared" si="4"/>
        <v>11.606900000000001</v>
      </c>
      <c r="N29" s="5">
        <f t="shared" si="4"/>
        <v>13.5944</v>
      </c>
      <c r="O29" s="5">
        <f t="shared" si="4"/>
        <v>15.0229</v>
      </c>
      <c r="P29" s="5">
        <f t="shared" si="4"/>
        <v>15.8024</v>
      </c>
      <c r="Q29" s="5">
        <f t="shared" si="4"/>
        <v>15.902900000000001</v>
      </c>
      <c r="R29" s="5">
        <f t="shared" si="4"/>
        <v>15.3544</v>
      </c>
      <c r="S29" s="5">
        <f t="shared" si="4"/>
        <v>14.246900000000002</v>
      </c>
      <c r="T29" s="5">
        <f t="shared" si="4"/>
        <v>12.730399999999999</v>
      </c>
      <c r="U29" s="5">
        <f t="shared" si="4"/>
        <v>11.014900000000001</v>
      </c>
      <c r="V29" s="5">
        <f t="shared" si="8"/>
        <v>9.3704000000000001</v>
      </c>
      <c r="W29" s="5">
        <f t="shared" si="8"/>
        <v>8.1269000000000009</v>
      </c>
      <c r="X29" s="5">
        <f t="shared" si="8"/>
        <v>7.6744000000000003</v>
      </c>
      <c r="Y29" s="5">
        <f t="shared" si="8"/>
        <v>8.462900000000003</v>
      </c>
      <c r="Z29" s="5">
        <f t="shared" si="8"/>
        <v>11.002399999999998</v>
      </c>
    </row>
    <row r="30" spans="1:26" x14ac:dyDescent="0.3">
      <c r="A30" s="14"/>
      <c r="B30" s="14"/>
      <c r="C30" s="14"/>
      <c r="D30" s="14"/>
      <c r="E30" s="31">
        <v>0.4</v>
      </c>
      <c r="F30" s="18">
        <f t="shared" si="4"/>
        <v>1.7824000000000007</v>
      </c>
      <c r="G30" s="43">
        <f t="shared" si="4"/>
        <v>0.13690000000000074</v>
      </c>
      <c r="H30" s="18">
        <f t="shared" si="4"/>
        <v>0.27039999999999964</v>
      </c>
      <c r="I30" s="5">
        <f t="shared" si="4"/>
        <v>1.6729000000000014</v>
      </c>
      <c r="J30" s="5">
        <f t="shared" si="4"/>
        <v>3.8944000000000001</v>
      </c>
      <c r="K30" s="5">
        <f t="shared" si="4"/>
        <v>6.5448999999999993</v>
      </c>
      <c r="L30" s="5">
        <f t="shared" si="4"/>
        <v>9.2943999999999996</v>
      </c>
      <c r="M30" s="5">
        <f t="shared" si="4"/>
        <v>11.872900000000001</v>
      </c>
      <c r="N30" s="5">
        <f t="shared" si="4"/>
        <v>14.070400000000001</v>
      </c>
      <c r="O30" s="5">
        <f t="shared" si="4"/>
        <v>15.7369</v>
      </c>
      <c r="P30" s="5">
        <f t="shared" si="4"/>
        <v>16.782399999999999</v>
      </c>
      <c r="Q30" s="5">
        <f t="shared" si="4"/>
        <v>17.176900000000003</v>
      </c>
      <c r="R30" s="5">
        <f t="shared" si="4"/>
        <v>16.950400000000002</v>
      </c>
      <c r="S30" s="5">
        <f t="shared" si="4"/>
        <v>16.192900000000002</v>
      </c>
      <c r="T30" s="5">
        <f t="shared" si="4"/>
        <v>15.054400000000001</v>
      </c>
      <c r="U30" s="5">
        <f t="shared" si="4"/>
        <v>13.744900000000001</v>
      </c>
      <c r="V30" s="5">
        <f t="shared" si="8"/>
        <v>12.5344</v>
      </c>
      <c r="W30" s="5">
        <f t="shared" si="8"/>
        <v>11.752900000000004</v>
      </c>
      <c r="X30" s="5">
        <f t="shared" si="8"/>
        <v>11.790400000000002</v>
      </c>
      <c r="Y30" s="5">
        <f t="shared" si="8"/>
        <v>13.096900000000005</v>
      </c>
      <c r="Z30" s="5">
        <f t="shared" si="8"/>
        <v>16.182400000000005</v>
      </c>
    </row>
    <row r="31" spans="1:26" x14ac:dyDescent="0.3">
      <c r="A31" s="14"/>
      <c r="B31" s="14"/>
      <c r="C31" s="14"/>
      <c r="D31" s="14"/>
      <c r="E31" s="31">
        <v>0.5</v>
      </c>
      <c r="F31" s="5">
        <f t="shared" si="4"/>
        <v>2.5</v>
      </c>
      <c r="G31" s="18">
        <f t="shared" si="4"/>
        <v>0.79250000000000065</v>
      </c>
      <c r="H31" s="5">
        <f t="shared" si="4"/>
        <v>0.89999999999999947</v>
      </c>
      <c r="I31" s="5">
        <f t="shared" si="4"/>
        <v>2.3125000000000009</v>
      </c>
      <c r="J31" s="5">
        <f t="shared" si="4"/>
        <v>4.58</v>
      </c>
      <c r="K31" s="5">
        <f t="shared" si="4"/>
        <v>7.3125</v>
      </c>
      <c r="L31" s="5">
        <f t="shared" si="4"/>
        <v>10.18</v>
      </c>
      <c r="M31" s="5">
        <f t="shared" si="4"/>
        <v>12.912499999999998</v>
      </c>
      <c r="N31" s="5">
        <f t="shared" si="4"/>
        <v>15.299999999999999</v>
      </c>
      <c r="O31" s="5">
        <f t="shared" si="4"/>
        <v>17.192500000000003</v>
      </c>
      <c r="P31" s="5">
        <f t="shared" si="4"/>
        <v>18.5</v>
      </c>
      <c r="Q31" s="5">
        <f t="shared" si="4"/>
        <v>19.192500000000003</v>
      </c>
      <c r="R31" s="5">
        <f t="shared" si="4"/>
        <v>19.299999999999997</v>
      </c>
      <c r="S31" s="5">
        <f t="shared" si="4"/>
        <v>18.912499999999994</v>
      </c>
      <c r="T31" s="5">
        <f t="shared" si="4"/>
        <v>18.179999999999996</v>
      </c>
      <c r="U31" s="5">
        <f t="shared" si="4"/>
        <v>17.3125</v>
      </c>
      <c r="V31" s="5">
        <f t="shared" si="8"/>
        <v>16.580000000000002</v>
      </c>
      <c r="W31" s="5">
        <f t="shared" si="8"/>
        <v>16.312500000000004</v>
      </c>
      <c r="X31" s="5">
        <f t="shared" si="8"/>
        <v>16.899999999999999</v>
      </c>
      <c r="Y31" s="5">
        <f t="shared" si="8"/>
        <v>18.7925</v>
      </c>
      <c r="Z31" s="5">
        <f t="shared" si="8"/>
        <v>22.5</v>
      </c>
    </row>
    <row r="32" spans="1:26" x14ac:dyDescent="0.3">
      <c r="A32" s="12"/>
      <c r="B32" s="12"/>
      <c r="C32" s="12"/>
      <c r="D32" s="12"/>
      <c r="E32" s="31">
        <v>0.6</v>
      </c>
      <c r="F32" s="5">
        <f t="shared" si="4"/>
        <v>4.3983999999999996</v>
      </c>
      <c r="G32" s="5">
        <f t="shared" si="4"/>
        <v>2.5529000000000019</v>
      </c>
      <c r="H32" s="5">
        <f t="shared" si="4"/>
        <v>2.5664000000000002</v>
      </c>
      <c r="I32" s="5">
        <f t="shared" si="4"/>
        <v>3.9289000000000014</v>
      </c>
      <c r="J32" s="5">
        <f t="shared" si="4"/>
        <v>6.1904000000000012</v>
      </c>
      <c r="K32" s="5">
        <f t="shared" si="4"/>
        <v>8.9609000000000023</v>
      </c>
      <c r="L32" s="5">
        <f t="shared" si="4"/>
        <v>11.910400000000003</v>
      </c>
      <c r="M32" s="5">
        <f t="shared" si="4"/>
        <v>14.768900000000002</v>
      </c>
      <c r="N32" s="5">
        <f t="shared" si="4"/>
        <v>17.3264</v>
      </c>
      <c r="O32" s="5">
        <f t="shared" si="4"/>
        <v>19.4329</v>
      </c>
      <c r="P32" s="5">
        <f t="shared" si="4"/>
        <v>20.998400000000004</v>
      </c>
      <c r="Q32" s="5">
        <f t="shared" si="4"/>
        <v>21.992900000000002</v>
      </c>
      <c r="R32" s="5">
        <f t="shared" si="4"/>
        <v>22.446400000000004</v>
      </c>
      <c r="S32" s="5">
        <f t="shared" si="4"/>
        <v>22.448900000000002</v>
      </c>
      <c r="T32" s="5">
        <f t="shared" si="4"/>
        <v>22.150400000000001</v>
      </c>
      <c r="U32" s="5">
        <f t="shared" si="4"/>
        <v>21.760899999999999</v>
      </c>
      <c r="V32" s="5">
        <f t="shared" si="8"/>
        <v>21.550400000000003</v>
      </c>
      <c r="W32" s="5">
        <f t="shared" si="8"/>
        <v>21.848899999999997</v>
      </c>
      <c r="X32" s="5">
        <f t="shared" si="8"/>
        <v>23.046400000000006</v>
      </c>
      <c r="Y32" s="5">
        <f t="shared" si="8"/>
        <v>25.5929</v>
      </c>
      <c r="Z32" s="5">
        <f t="shared" si="8"/>
        <v>29.998400000000004</v>
      </c>
    </row>
    <row r="33" spans="1:26" x14ac:dyDescent="0.3">
      <c r="A33" s="12"/>
      <c r="B33" s="12"/>
      <c r="C33" s="12"/>
      <c r="D33" s="12"/>
      <c r="E33" s="31">
        <v>0.7</v>
      </c>
      <c r="F33" s="5">
        <f t="shared" si="4"/>
        <v>7.5303999999999967</v>
      </c>
      <c r="G33" s="5">
        <f t="shared" si="4"/>
        <v>5.4708999999999985</v>
      </c>
      <c r="H33" s="5">
        <f t="shared" si="4"/>
        <v>5.3223999999999974</v>
      </c>
      <c r="I33" s="5">
        <f t="shared" si="4"/>
        <v>6.5748999999999986</v>
      </c>
      <c r="J33" s="5">
        <f t="shared" si="4"/>
        <v>8.7783999999999978</v>
      </c>
      <c r="K33" s="5">
        <f t="shared" si="4"/>
        <v>11.542899999999996</v>
      </c>
      <c r="L33" s="5">
        <f t="shared" si="4"/>
        <v>14.538399999999996</v>
      </c>
      <c r="M33" s="5">
        <f t="shared" si="4"/>
        <v>17.494900000000001</v>
      </c>
      <c r="N33" s="5">
        <f t="shared" si="4"/>
        <v>20.202399999999994</v>
      </c>
      <c r="O33" s="5">
        <f t="shared" si="4"/>
        <v>22.510899999999996</v>
      </c>
      <c r="P33" s="5">
        <f t="shared" si="4"/>
        <v>24.330399999999997</v>
      </c>
      <c r="Q33" s="5">
        <f t="shared" si="4"/>
        <v>25.6309</v>
      </c>
      <c r="R33" s="5">
        <f t="shared" si="4"/>
        <v>26.442399999999999</v>
      </c>
      <c r="S33" s="5">
        <f t="shared" si="4"/>
        <v>26.854899999999994</v>
      </c>
      <c r="T33" s="5">
        <f t="shared" si="4"/>
        <v>27.018399999999993</v>
      </c>
      <c r="U33" s="5">
        <f t="shared" si="4"/>
        <v>27.142899999999994</v>
      </c>
      <c r="V33" s="5">
        <f t="shared" si="8"/>
        <v>27.498399999999997</v>
      </c>
      <c r="W33" s="5">
        <f t="shared" si="8"/>
        <v>28.414899999999989</v>
      </c>
      <c r="X33" s="5">
        <f t="shared" si="8"/>
        <v>30.282399999999999</v>
      </c>
      <c r="Y33" s="5">
        <f t="shared" si="8"/>
        <v>33.550899999999999</v>
      </c>
      <c r="Z33" s="5">
        <f t="shared" si="8"/>
        <v>38.730399999999996</v>
      </c>
    </row>
    <row r="34" spans="1:26" x14ac:dyDescent="0.3">
      <c r="A34" s="12"/>
      <c r="B34" s="12"/>
      <c r="C34" s="12"/>
      <c r="D34" s="12"/>
      <c r="E34" s="31">
        <v>0.8</v>
      </c>
      <c r="F34" s="5">
        <f t="shared" si="4"/>
        <v>11.958400000000005</v>
      </c>
      <c r="G34" s="5">
        <f t="shared" si="4"/>
        <v>9.6089000000000073</v>
      </c>
      <c r="H34" s="5">
        <f t="shared" si="4"/>
        <v>9.2304000000000013</v>
      </c>
      <c r="I34" s="5">
        <f t="shared" si="4"/>
        <v>10.312900000000008</v>
      </c>
      <c r="J34" s="5">
        <f t="shared" si="4"/>
        <v>12.406400000000001</v>
      </c>
      <c r="K34" s="5">
        <f t="shared" si="4"/>
        <v>15.120900000000004</v>
      </c>
      <c r="L34" s="5">
        <f t="shared" si="4"/>
        <v>18.126400000000004</v>
      </c>
      <c r="M34" s="5">
        <f t="shared" si="4"/>
        <v>21.152900000000006</v>
      </c>
      <c r="N34" s="5">
        <f t="shared" si="4"/>
        <v>23.990399999999998</v>
      </c>
      <c r="O34" s="5">
        <f t="shared" si="4"/>
        <v>26.488900000000001</v>
      </c>
      <c r="P34" s="5">
        <f t="shared" si="4"/>
        <v>28.558400000000002</v>
      </c>
      <c r="Q34" s="5">
        <f t="shared" si="4"/>
        <v>30.168900000000008</v>
      </c>
      <c r="R34" s="5">
        <f t="shared" si="4"/>
        <v>31.350400000000004</v>
      </c>
      <c r="S34" s="5">
        <f t="shared" si="4"/>
        <v>32.192900000000002</v>
      </c>
      <c r="T34" s="5">
        <f t="shared" si="4"/>
        <v>32.846400000000003</v>
      </c>
      <c r="U34" s="5">
        <f t="shared" si="4"/>
        <v>33.520900000000005</v>
      </c>
      <c r="V34" s="5">
        <f t="shared" si="8"/>
        <v>34.48640000000001</v>
      </c>
      <c r="W34" s="5">
        <f t="shared" si="8"/>
        <v>36.072899999999997</v>
      </c>
      <c r="X34" s="5">
        <f t="shared" si="8"/>
        <v>38.670400000000015</v>
      </c>
      <c r="Y34" s="5">
        <f t="shared" si="8"/>
        <v>42.72890000000001</v>
      </c>
      <c r="Z34" s="5">
        <f t="shared" si="8"/>
        <v>48.758400000000009</v>
      </c>
    </row>
    <row r="35" spans="1:26" x14ac:dyDescent="0.3">
      <c r="A35" s="12"/>
      <c r="B35" s="12"/>
      <c r="C35" s="12"/>
      <c r="D35" s="12"/>
      <c r="E35" s="31">
        <v>0.9</v>
      </c>
      <c r="F35" s="5">
        <f t="shared" si="4"/>
        <v>17.7544</v>
      </c>
      <c r="G35" s="5">
        <f t="shared" si="4"/>
        <v>15.038900000000002</v>
      </c>
      <c r="H35" s="5">
        <f t="shared" si="4"/>
        <v>14.362399999999994</v>
      </c>
      <c r="I35" s="5">
        <f t="shared" si="4"/>
        <v>15.214900000000002</v>
      </c>
      <c r="J35" s="5">
        <f t="shared" si="4"/>
        <v>17.1464</v>
      </c>
      <c r="K35" s="5">
        <f t="shared" si="4"/>
        <v>19.7669</v>
      </c>
      <c r="L35" s="5">
        <f t="shared" si="4"/>
        <v>22.746399999999998</v>
      </c>
      <c r="M35" s="5">
        <f t="shared" si="4"/>
        <v>25.814900000000002</v>
      </c>
      <c r="N35" s="5">
        <f t="shared" si="4"/>
        <v>28.762399999999992</v>
      </c>
      <c r="O35" s="5">
        <f t="shared" si="4"/>
        <v>31.438899999999997</v>
      </c>
      <c r="P35" s="5">
        <f t="shared" si="4"/>
        <v>33.754399999999997</v>
      </c>
      <c r="Q35" s="5">
        <f t="shared" si="4"/>
        <v>35.678899999999999</v>
      </c>
      <c r="R35" s="5">
        <f t="shared" si="4"/>
        <v>37.242400000000004</v>
      </c>
      <c r="S35" s="5">
        <f t="shared" si="4"/>
        <v>38.534899999999993</v>
      </c>
      <c r="T35" s="5">
        <f t="shared" si="4"/>
        <v>39.706399999999995</v>
      </c>
      <c r="U35" s="5">
        <f t="shared" si="4"/>
        <v>40.966899999999995</v>
      </c>
      <c r="V35" s="5">
        <f t="shared" si="8"/>
        <v>42.586399999999998</v>
      </c>
      <c r="W35" s="5">
        <f t="shared" si="8"/>
        <v>44.894899999999993</v>
      </c>
      <c r="X35" s="5">
        <f t="shared" si="8"/>
        <v>48.28240000000001</v>
      </c>
      <c r="Y35" s="5">
        <f t="shared" si="8"/>
        <v>53.198900000000002</v>
      </c>
      <c r="Z35" s="5">
        <f t="shared" si="8"/>
        <v>60.154400000000017</v>
      </c>
    </row>
    <row r="36" spans="1:26" x14ac:dyDescent="0.3">
      <c r="A36" s="12"/>
      <c r="B36" s="12"/>
      <c r="C36" s="12"/>
      <c r="D36" s="12"/>
      <c r="E36" s="31">
        <v>1</v>
      </c>
      <c r="F36" s="5">
        <f t="shared" si="4"/>
        <v>25</v>
      </c>
      <c r="G36" s="5">
        <f t="shared" si="4"/>
        <v>21.842500000000005</v>
      </c>
      <c r="H36" s="5">
        <f t="shared" si="4"/>
        <v>20.800000000000004</v>
      </c>
      <c r="I36" s="5">
        <f t="shared" si="4"/>
        <v>21.362499999999997</v>
      </c>
      <c r="J36" s="5">
        <f t="shared" si="4"/>
        <v>23.08</v>
      </c>
      <c r="K36" s="5">
        <f t="shared" si="4"/>
        <v>25.5625</v>
      </c>
      <c r="L36" s="5">
        <f t="shared" si="4"/>
        <v>28.48</v>
      </c>
      <c r="M36" s="5">
        <f t="shared" si="4"/>
        <v>31.562500000000004</v>
      </c>
      <c r="N36" s="5">
        <f t="shared" si="4"/>
        <v>34.599999999999994</v>
      </c>
      <c r="O36" s="5">
        <f t="shared" si="4"/>
        <v>37.442500000000003</v>
      </c>
      <c r="P36" s="5">
        <f t="shared" si="4"/>
        <v>40</v>
      </c>
      <c r="Q36" s="5">
        <f t="shared" si="4"/>
        <v>42.242500000000007</v>
      </c>
      <c r="R36" s="5">
        <f t="shared" si="4"/>
        <v>44.20000000000001</v>
      </c>
      <c r="S36" s="5">
        <f t="shared" si="4"/>
        <v>45.962499999999991</v>
      </c>
      <c r="T36" s="5">
        <f t="shared" si="4"/>
        <v>47.679999999999993</v>
      </c>
      <c r="U36" s="5">
        <f t="shared" si="4"/>
        <v>49.5625</v>
      </c>
      <c r="V36" s="5">
        <f t="shared" si="8"/>
        <v>51.879999999999988</v>
      </c>
      <c r="W36" s="5">
        <f t="shared" si="8"/>
        <v>54.962500000000006</v>
      </c>
      <c r="X36" s="5">
        <f t="shared" si="8"/>
        <v>59.2</v>
      </c>
      <c r="Y36" s="5">
        <f t="shared" si="8"/>
        <v>65.042500000000018</v>
      </c>
      <c r="Z36" s="5">
        <f t="shared" si="8"/>
        <v>73</v>
      </c>
    </row>
    <row r="37" spans="1:26" x14ac:dyDescent="0.3">
      <c r="A37" s="12"/>
      <c r="B37" s="12"/>
      <c r="C37" s="12"/>
      <c r="D37" s="12"/>
    </row>
    <row r="38" spans="1:26" x14ac:dyDescent="0.3">
      <c r="A38" s="12"/>
      <c r="B38" s="12"/>
      <c r="C38" s="12"/>
      <c r="D38" s="12"/>
    </row>
    <row r="39" spans="1:26" x14ac:dyDescent="0.3">
      <c r="A39" s="12"/>
      <c r="B39" s="12"/>
      <c r="C39" s="12"/>
      <c r="D39" s="12"/>
    </row>
    <row r="40" spans="1:26" x14ac:dyDescent="0.3">
      <c r="A40" s="12"/>
      <c r="B40" s="12"/>
      <c r="C40" s="12"/>
      <c r="D40" s="12"/>
    </row>
    <row r="41" spans="1:26" x14ac:dyDescent="0.3">
      <c r="A41" s="12"/>
      <c r="B41" s="12"/>
      <c r="C41" s="12"/>
      <c r="D41" s="12"/>
    </row>
    <row r="42" spans="1:26" x14ac:dyDescent="0.3">
      <c r="A42" s="12"/>
      <c r="B42" s="12"/>
      <c r="C42" s="12"/>
      <c r="D42" s="12"/>
    </row>
    <row r="43" spans="1:26" x14ac:dyDescent="0.3">
      <c r="A43" s="12"/>
      <c r="B43" s="12"/>
      <c r="C43" s="12"/>
      <c r="D43" s="12"/>
    </row>
    <row r="44" spans="1:26" x14ac:dyDescent="0.3">
      <c r="A44" s="12"/>
      <c r="B44" s="12"/>
      <c r="C44" s="12"/>
      <c r="D44" s="12"/>
    </row>
  </sheetData>
  <mergeCells count="3">
    <mergeCell ref="A1:E1"/>
    <mergeCell ref="A2:C2"/>
    <mergeCell ref="L9:P9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№1</vt:lpstr>
      <vt:lpstr>Задание №2</vt:lpstr>
      <vt:lpstr>Задание №3</vt:lpstr>
      <vt:lpstr>Задание №4</vt:lpstr>
      <vt:lpstr>Задание №5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feef ewfew</cp:lastModifiedBy>
  <dcterms:created xsi:type="dcterms:W3CDTF">2021-01-15T10:50:11Z</dcterms:created>
  <dcterms:modified xsi:type="dcterms:W3CDTF">2025-01-28T07:24:08Z</dcterms:modified>
</cp:coreProperties>
</file>