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Информатика\ИНФОРМАТИКА ЛАБОРАТОРНЫЕ\Excel\"/>
    </mc:Choice>
  </mc:AlternateContent>
  <xr:revisionPtr revIDLastSave="0" documentId="13_ncr:1_{22B917CE-1300-4623-9266-17FAB057D260}" xr6:coauthVersionLast="47" xr6:coauthVersionMax="47" xr10:uidLastSave="{00000000-0000-0000-0000-000000000000}"/>
  <bookViews>
    <workbookView xWindow="-108" yWindow="-108" windowWidth="23256" windowHeight="12576" tabRatio="714" activeTab="8" xr2:uid="{00000000-000D-0000-FFFF-FFFF00000000}"/>
  </bookViews>
  <sheets>
    <sheet name="Исходная таблица" sheetId="1" r:id="rId1"/>
    <sheet name="Задание 1 1п" sheetId="2" r:id="rId2"/>
    <sheet name="Задание 1 2 п" sheetId="3" r:id="rId3"/>
    <sheet name="Задание 1 3 п" sheetId="4" r:id="rId4"/>
    <sheet name="Задание 2" sheetId="5" r:id="rId5"/>
    <sheet name="Задание 3" sheetId="6" r:id="rId6"/>
    <sheet name="Задание 3 2 п" sheetId="7" r:id="rId7"/>
    <sheet name="Задание 3 3 п" sheetId="8" r:id="rId8"/>
    <sheet name="Задание 4" sheetId="9" r:id="rId9"/>
  </sheets>
  <definedNames>
    <definedName name="_xlnm._FilterDatabase" localSheetId="5" hidden="1">'Задание 3'!$A$1:$F$10</definedName>
    <definedName name="_xlnm._FilterDatabase" localSheetId="6" hidden="1">'Задание 3 2 п'!$A$1:$F$10</definedName>
    <definedName name="_xlnm._FilterDatabase" localSheetId="7" hidden="1">'Задание 3 3 п'!$A$1:$F$10</definedName>
    <definedName name="_xlnm._FilterDatabase" localSheetId="8" hidden="1">'Задание 4'!$A$23:$F$32</definedName>
    <definedName name="_xlnm._FilterDatabase" localSheetId="0" hidden="1">'Исходная таблица'!$I$1:$N$10</definedName>
    <definedName name="_xlnm.Extract" localSheetId="8">'Задание 4'!$I$27:$N$35</definedName>
    <definedName name="_xlnm.Criteria" localSheetId="8">'Задание 4'!$I$23:$N$25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5" i="1"/>
  <c r="N3" i="1"/>
  <c r="N2" i="1"/>
  <c r="M6" i="1"/>
  <c r="M7" i="1"/>
  <c r="M8" i="1"/>
  <c r="M9" i="1"/>
  <c r="M10" i="1"/>
  <c r="M5" i="1"/>
  <c r="M3" i="1"/>
  <c r="M4" i="1"/>
  <c r="M2" i="1"/>
  <c r="L6" i="1"/>
  <c r="L7" i="1"/>
  <c r="L8" i="1"/>
  <c r="L9" i="1"/>
  <c r="L10" i="1"/>
  <c r="L5" i="1"/>
  <c r="L3" i="1"/>
  <c r="L2" i="1"/>
  <c r="K6" i="1"/>
  <c r="K7" i="1"/>
  <c r="K8" i="1"/>
  <c r="K9" i="1"/>
  <c r="K10" i="1"/>
  <c r="K5" i="1"/>
  <c r="K3" i="1"/>
  <c r="K2" i="1"/>
  <c r="J3" i="1"/>
  <c r="J2" i="1"/>
  <c r="J6" i="1"/>
  <c r="J7" i="1"/>
  <c r="J8" i="1"/>
  <c r="J9" i="1"/>
  <c r="J10" i="1"/>
  <c r="J5" i="1"/>
  <c r="K4" i="1"/>
  <c r="L4" i="1"/>
  <c r="N4" i="1"/>
  <c r="J4" i="1"/>
</calcChain>
</file>

<file path=xl/sharedStrings.xml><?xml version="1.0" encoding="utf-8"?>
<sst xmlns="http://schemas.openxmlformats.org/spreadsheetml/2006/main" count="232" uniqueCount="27">
  <si>
    <t>Планета</t>
  </si>
  <si>
    <t>Период обращения, земной год</t>
  </si>
  <si>
    <t>Расстояние от Солнца, млн. км</t>
  </si>
  <si>
    <t>Диаметр, тыс. км</t>
  </si>
  <si>
    <t>Масса, Тт</t>
  </si>
  <si>
    <t>Количество спутников</t>
  </si>
  <si>
    <t>Меркурий</t>
  </si>
  <si>
    <t>Венера</t>
  </si>
  <si>
    <t>Земля</t>
  </si>
  <si>
    <t>Марс</t>
  </si>
  <si>
    <t>Юпитер</t>
  </si>
  <si>
    <t>Сатурн</t>
  </si>
  <si>
    <t>Уран</t>
  </si>
  <si>
    <t>Нептун</t>
  </si>
  <si>
    <t>Плутон</t>
  </si>
  <si>
    <t>Расстояние от Солнца</t>
  </si>
  <si>
    <t>Диаметр</t>
  </si>
  <si>
    <t>Масса</t>
  </si>
  <si>
    <t>&lt;=10</t>
  </si>
  <si>
    <t>&gt;=14</t>
  </si>
  <si>
    <t>&gt;=10</t>
  </si>
  <si>
    <t>&gt;10</t>
  </si>
  <si>
    <t>&lt;100</t>
  </si>
  <si>
    <t>&lt;=15</t>
  </si>
  <si>
    <t>&gt;=4</t>
  </si>
  <si>
    <t>&gt;100</t>
  </si>
  <si>
    <t>&lt;0,5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</si>
</sst>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4"/>
      <color rgb="FF3F3F3F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</borders>
  <cellStyleXfs count="3">
    <xf numFmtId="0" fontId="0" fillId="0" borderId="0"/>
    <xf numFmtId="0" fontId="1" fillId="0" borderId="0"/>
    <xf numFmtId="0" fontId="2" fillId="2" borderId="1" applyNumberFormat="0" applyAlignment="0" applyProtection="0"/>
  </cellStyleXfs>
  <cellXfs count="40">
    <xf numFmtId="0" fontId="0" fillId="0" borderId="0" xfId="0"/>
    <xf numFmtId="0" fontId="3" fillId="3" borderId="1" xfId="2" applyFont="1" applyFill="1" applyAlignment="1">
      <alignment horizontal="center" vertical="center" wrapText="1"/>
    </xf>
    <xf numFmtId="0" fontId="3" fillId="3" borderId="1" xfId="2" applyFont="1" applyFill="1" applyAlignment="1">
      <alignment vertical="center" wrapText="1"/>
    </xf>
    <xf numFmtId="2" fontId="3" fillId="3" borderId="1" xfId="2" applyNumberFormat="1" applyFont="1" applyFill="1" applyAlignment="1">
      <alignment horizontal="center" vertical="center" wrapText="1"/>
    </xf>
    <xf numFmtId="1" fontId="3" fillId="3" borderId="1" xfId="2" applyNumberFormat="1" applyFont="1" applyFill="1" applyAlignment="1">
      <alignment horizontal="center" vertical="center" wrapText="1"/>
    </xf>
    <xf numFmtId="0" fontId="3" fillId="3" borderId="1" xfId="2" applyNumberFormat="1" applyFont="1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3" borderId="13" xfId="2" applyFont="1" applyFill="1" applyBorder="1" applyAlignment="1">
      <alignment vertical="center" wrapText="1"/>
    </xf>
    <xf numFmtId="1" fontId="3" fillId="3" borderId="14" xfId="2" applyNumberFormat="1" applyFont="1" applyFill="1" applyBorder="1" applyAlignment="1">
      <alignment horizontal="center" vertical="center" wrapText="1"/>
    </xf>
    <xf numFmtId="0" fontId="3" fillId="3" borderId="15" xfId="2" applyFont="1" applyFill="1" applyBorder="1" applyAlignment="1">
      <alignment horizontal="center" vertical="center" wrapText="1"/>
    </xf>
    <xf numFmtId="0" fontId="3" fillId="3" borderId="16" xfId="2" applyFont="1" applyFill="1" applyBorder="1" applyAlignment="1">
      <alignment horizontal="center" vertical="center" wrapText="1"/>
    </xf>
    <xf numFmtId="0" fontId="3" fillId="3" borderId="17" xfId="2" applyFont="1" applyFill="1" applyBorder="1" applyAlignment="1">
      <alignment horizontal="center" vertical="center" wrapText="1"/>
    </xf>
    <xf numFmtId="0" fontId="3" fillId="3" borderId="18" xfId="2" applyFont="1" applyFill="1" applyBorder="1" applyAlignment="1">
      <alignment vertical="center" wrapText="1"/>
    </xf>
    <xf numFmtId="2" fontId="3" fillId="3" borderId="19" xfId="2" applyNumberFormat="1" applyFont="1" applyFill="1" applyBorder="1" applyAlignment="1">
      <alignment horizontal="center" vertical="center" wrapText="1"/>
    </xf>
    <xf numFmtId="1" fontId="3" fillId="3" borderId="19" xfId="2" applyNumberFormat="1" applyFont="1" applyFill="1" applyBorder="1" applyAlignment="1">
      <alignment horizontal="center" vertical="center" wrapText="1"/>
    </xf>
    <xf numFmtId="0" fontId="3" fillId="3" borderId="19" xfId="2" applyNumberFormat="1" applyFont="1" applyFill="1" applyBorder="1" applyAlignment="1">
      <alignment horizontal="center" vertical="center" wrapText="1"/>
    </xf>
    <xf numFmtId="1" fontId="3" fillId="3" borderId="20" xfId="2" applyNumberFormat="1" applyFont="1" applyFill="1" applyBorder="1" applyAlignment="1">
      <alignment horizontal="center" vertical="center" wrapText="1"/>
    </xf>
  </cellXfs>
  <cellStyles count="3">
    <cellStyle name="Вывод 2" xfId="2" xr:uid="{00000000-0005-0000-0000-000000000000}"/>
    <cellStyle name="Обычный" xfId="0" builtinId="0"/>
    <cellStyle name="Обычный 2" xfId="1" xr:uid="{00000000-0005-0000-0000-000002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Times New Roman"/>
        <family val="1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3F3F3F"/>
        </left>
        <right/>
        <top style="thin">
          <color rgb="FF3F3F3F"/>
        </top>
        <bottom style="thin">
          <color rgb="FF3F3F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Times New Roman"/>
        <family val="1"/>
        <charset val="20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Times New Roman"/>
        <family val="1"/>
        <charset val="204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Times New Roman"/>
        <family val="1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Times New Roman"/>
        <family val="1"/>
        <charset val="204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12</xdr:row>
      <xdr:rowOff>66675</xdr:rowOff>
    </xdr:from>
    <xdr:to>
      <xdr:col>12</xdr:col>
      <xdr:colOff>29068</xdr:colOff>
      <xdr:row>27</xdr:row>
      <xdr:rowOff>86126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2771775"/>
          <a:ext cx="3534268" cy="2876951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12</xdr:row>
      <xdr:rowOff>28575</xdr:rowOff>
    </xdr:from>
    <xdr:to>
      <xdr:col>5</xdr:col>
      <xdr:colOff>361950</xdr:colOff>
      <xdr:row>27</xdr:row>
      <xdr:rowOff>19050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314575"/>
          <a:ext cx="3552825" cy="284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C2EF47-283E-4B3A-ADF1-EEBC4EC9FD30}" name="Таблица4" displayName="Таблица4" ref="A1:F10" totalsRowShown="0" headerRowDxfId="0" dataDxfId="1" headerRowBorderDxfId="9" tableBorderDxfId="10" totalsRowBorderDxfId="8" headerRowCellStyle="Вывод 2" dataCellStyle="Вывод 2">
  <tableColumns count="6">
    <tableColumn id="1" xr3:uid="{8394F991-C45A-4230-9531-144581C064BB}" name="Планета" dataDxfId="7" dataCellStyle="Вывод 2"/>
    <tableColumn id="2" xr3:uid="{0978D013-0D9E-4798-9D09-7A749F141927}" name="Период обращения, земной год" dataDxfId="6" dataCellStyle="Вывод 2"/>
    <tableColumn id="3" xr3:uid="{A35DBE3D-5538-4507-A519-05FA83122EA0}" name="Расстояние от Солнца, млн. км" dataDxfId="5" dataCellStyle="Вывод 2"/>
    <tableColumn id="4" xr3:uid="{92301E05-8588-43A1-8693-84BBB2992C4C}" name="Диаметр, тыс. км" dataDxfId="4" dataCellStyle="Вывод 2"/>
    <tableColumn id="5" xr3:uid="{B5F87F4F-AD64-4FE9-A2EF-8BB2ECC5B0B6}" name="Масса, Тт" dataDxfId="3" dataCellStyle="Вывод 2"/>
    <tableColumn id="6" xr3:uid="{19DE6406-184D-4FAD-AB5A-4189BDF3675C}" name="Количество спутников" dataDxfId="2" dataCellStyle="Вывод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="70" zoomScaleNormal="70" workbookViewId="0">
      <selection activeCell="H16" sqref="H16"/>
    </sheetView>
  </sheetViews>
  <sheetFormatPr defaultRowHeight="14.4" x14ac:dyDescent="0.3"/>
  <cols>
    <col min="1" max="1" width="11.5546875" customWidth="1"/>
    <col min="2" max="2" width="37.21875" customWidth="1"/>
    <col min="3" max="3" width="36.6640625" customWidth="1"/>
    <col min="4" max="4" width="21.77734375" customWidth="1"/>
    <col min="5" max="5" width="16.109375" customWidth="1"/>
    <col min="6" max="6" width="27.5546875" customWidth="1"/>
    <col min="9" max="9" width="11.44140625" customWidth="1"/>
    <col min="10" max="10" width="16.33203125" customWidth="1"/>
    <col min="11" max="11" width="15.88671875" customWidth="1"/>
    <col min="12" max="12" width="17.33203125" customWidth="1"/>
    <col min="13" max="13" width="19.109375" customWidth="1"/>
    <col min="14" max="14" width="18.33203125" customWidth="1"/>
  </cols>
  <sheetData>
    <row r="1" spans="1:14" ht="54" x14ac:dyDescent="0.3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5</v>
      </c>
      <c r="I1" s="1" t="s">
        <v>0</v>
      </c>
      <c r="J1" s="1" t="s">
        <v>1</v>
      </c>
      <c r="K1" s="1" t="s">
        <v>15</v>
      </c>
      <c r="L1" s="1" t="s">
        <v>16</v>
      </c>
      <c r="M1" s="1" t="s">
        <v>17</v>
      </c>
      <c r="N1" s="1" t="s">
        <v>5</v>
      </c>
    </row>
    <row r="2" spans="1:14" ht="36" x14ac:dyDescent="0.3">
      <c r="A2" s="30" t="s">
        <v>6</v>
      </c>
      <c r="B2" s="3">
        <v>0.24099999999999999</v>
      </c>
      <c r="C2" s="4">
        <v>58</v>
      </c>
      <c r="D2" s="3">
        <v>4.9000000000000004</v>
      </c>
      <c r="E2" s="5">
        <v>320000000</v>
      </c>
      <c r="F2" s="31">
        <v>0</v>
      </c>
      <c r="I2" s="2" t="s">
        <v>6</v>
      </c>
      <c r="J2" s="3">
        <f t="shared" ref="J2:N3" si="0">B2/B$4</f>
        <v>0.24099999999999999</v>
      </c>
      <c r="K2" s="3">
        <f t="shared" si="0"/>
        <v>0.38666666666666666</v>
      </c>
      <c r="L2" s="3">
        <f t="shared" si="0"/>
        <v>0.3828125</v>
      </c>
      <c r="M2" s="5">
        <f t="shared" si="0"/>
        <v>5.3333333333333337E-2</v>
      </c>
      <c r="N2" s="4">
        <f t="shared" si="0"/>
        <v>0</v>
      </c>
    </row>
    <row r="3" spans="1:14" ht="18" x14ac:dyDescent="0.3">
      <c r="A3" s="30" t="s">
        <v>7</v>
      </c>
      <c r="B3" s="3">
        <v>0.61499999999999999</v>
      </c>
      <c r="C3" s="4">
        <v>108</v>
      </c>
      <c r="D3" s="3">
        <v>12.1</v>
      </c>
      <c r="E3" s="5">
        <v>4860000000</v>
      </c>
      <c r="F3" s="31">
        <v>0</v>
      </c>
      <c r="I3" s="2" t="s">
        <v>7</v>
      </c>
      <c r="J3" s="3">
        <f t="shared" si="0"/>
        <v>0.61499999999999999</v>
      </c>
      <c r="K3" s="3">
        <f t="shared" si="0"/>
        <v>0.72</v>
      </c>
      <c r="L3" s="3">
        <f t="shared" si="0"/>
        <v>0.94531249999999989</v>
      </c>
      <c r="M3" s="5">
        <f t="shared" si="0"/>
        <v>0.81</v>
      </c>
      <c r="N3" s="4">
        <f t="shared" si="0"/>
        <v>0</v>
      </c>
    </row>
    <row r="4" spans="1:14" ht="18" x14ac:dyDescent="0.3">
      <c r="A4" s="30" t="s">
        <v>8</v>
      </c>
      <c r="B4" s="3">
        <v>1</v>
      </c>
      <c r="C4" s="4">
        <v>150</v>
      </c>
      <c r="D4" s="3">
        <v>12.8</v>
      </c>
      <c r="E4" s="5">
        <v>6000000000</v>
      </c>
      <c r="F4" s="31">
        <v>1</v>
      </c>
      <c r="I4" s="2" t="s">
        <v>8</v>
      </c>
      <c r="J4" s="3">
        <f>B4/B4</f>
        <v>1</v>
      </c>
      <c r="K4" s="3">
        <f t="shared" ref="K4:N4" si="1">C4/C4</f>
        <v>1</v>
      </c>
      <c r="L4" s="3">
        <f t="shared" si="1"/>
        <v>1</v>
      </c>
      <c r="M4" s="5">
        <f t="shared" si="1"/>
        <v>1</v>
      </c>
      <c r="N4" s="3">
        <f t="shared" si="1"/>
        <v>1</v>
      </c>
    </row>
    <row r="5" spans="1:14" ht="18" x14ac:dyDescent="0.3">
      <c r="A5" s="30" t="s">
        <v>9</v>
      </c>
      <c r="B5" s="3">
        <v>1.881</v>
      </c>
      <c r="C5" s="4">
        <v>288</v>
      </c>
      <c r="D5" s="3">
        <v>6.8</v>
      </c>
      <c r="E5" s="5">
        <v>610000000</v>
      </c>
      <c r="F5" s="31">
        <v>2</v>
      </c>
      <c r="I5" s="2" t="s">
        <v>9</v>
      </c>
      <c r="J5" s="3">
        <f>B5/B$4</f>
        <v>1.881</v>
      </c>
      <c r="K5" s="3">
        <f>C5/C$4</f>
        <v>1.92</v>
      </c>
      <c r="L5" s="3">
        <f>D5/D$4</f>
        <v>0.53125</v>
      </c>
      <c r="M5" s="5">
        <f>E5/E$4</f>
        <v>0.10166666666666667</v>
      </c>
      <c r="N5" s="4">
        <f>F5/F$4</f>
        <v>2</v>
      </c>
    </row>
    <row r="6" spans="1:14" ht="18" x14ac:dyDescent="0.3">
      <c r="A6" s="30" t="s">
        <v>10</v>
      </c>
      <c r="B6" s="3">
        <v>11.86</v>
      </c>
      <c r="C6" s="4">
        <v>778</v>
      </c>
      <c r="D6" s="3">
        <v>142.6</v>
      </c>
      <c r="E6" s="5">
        <v>1907000000000</v>
      </c>
      <c r="F6" s="31">
        <v>16</v>
      </c>
      <c r="I6" s="2" t="s">
        <v>10</v>
      </c>
      <c r="J6" s="3">
        <f t="shared" ref="J6:J10" si="2">B6/B$4</f>
        <v>11.86</v>
      </c>
      <c r="K6" s="3">
        <f t="shared" ref="K6:K10" si="3">C6/C$4</f>
        <v>5.1866666666666665</v>
      </c>
      <c r="L6" s="3">
        <f t="shared" ref="L6:L10" si="4">D6/D$4</f>
        <v>11.140624999999998</v>
      </c>
      <c r="M6" s="5">
        <f t="shared" ref="M6:M10" si="5">E6/E$4</f>
        <v>317.83333333333331</v>
      </c>
      <c r="N6" s="4">
        <f t="shared" ref="N6:N10" si="6">F6/F$4</f>
        <v>16</v>
      </c>
    </row>
    <row r="7" spans="1:14" ht="18" x14ac:dyDescent="0.3">
      <c r="A7" s="30" t="s">
        <v>11</v>
      </c>
      <c r="B7" s="3">
        <v>29.46</v>
      </c>
      <c r="C7" s="4">
        <v>1426</v>
      </c>
      <c r="D7" s="3">
        <v>120.2</v>
      </c>
      <c r="E7" s="5">
        <v>570900000000</v>
      </c>
      <c r="F7" s="31">
        <v>17</v>
      </c>
      <c r="I7" s="2" t="s">
        <v>11</v>
      </c>
      <c r="J7" s="3">
        <f t="shared" si="2"/>
        <v>29.46</v>
      </c>
      <c r="K7" s="3">
        <f t="shared" si="3"/>
        <v>9.5066666666666659</v>
      </c>
      <c r="L7" s="3">
        <f t="shared" si="4"/>
        <v>9.390625</v>
      </c>
      <c r="M7" s="5">
        <f t="shared" si="5"/>
        <v>95.15</v>
      </c>
      <c r="N7" s="4">
        <f t="shared" si="6"/>
        <v>17</v>
      </c>
    </row>
    <row r="8" spans="1:14" ht="18" x14ac:dyDescent="0.3">
      <c r="A8" s="30" t="s">
        <v>12</v>
      </c>
      <c r="B8" s="3">
        <v>84.01</v>
      </c>
      <c r="C8" s="4">
        <v>2869</v>
      </c>
      <c r="D8" s="3">
        <v>49</v>
      </c>
      <c r="E8" s="5">
        <v>87240000000</v>
      </c>
      <c r="F8" s="31">
        <v>14</v>
      </c>
      <c r="I8" s="2" t="s">
        <v>12</v>
      </c>
      <c r="J8" s="3">
        <f t="shared" si="2"/>
        <v>84.01</v>
      </c>
      <c r="K8" s="3">
        <f t="shared" si="3"/>
        <v>19.126666666666665</v>
      </c>
      <c r="L8" s="3">
        <f t="shared" si="4"/>
        <v>3.828125</v>
      </c>
      <c r="M8" s="5">
        <f t="shared" si="5"/>
        <v>14.54</v>
      </c>
      <c r="N8" s="4">
        <f t="shared" si="6"/>
        <v>14</v>
      </c>
    </row>
    <row r="9" spans="1:14" ht="18" x14ac:dyDescent="0.3">
      <c r="A9" s="30" t="s">
        <v>13</v>
      </c>
      <c r="B9" s="3">
        <v>164.8</v>
      </c>
      <c r="C9" s="4">
        <v>4496</v>
      </c>
      <c r="D9" s="3">
        <v>50.2</v>
      </c>
      <c r="E9" s="5">
        <v>103400000000</v>
      </c>
      <c r="F9" s="31">
        <v>2</v>
      </c>
      <c r="I9" s="2" t="s">
        <v>13</v>
      </c>
      <c r="J9" s="3">
        <f t="shared" si="2"/>
        <v>164.8</v>
      </c>
      <c r="K9" s="3">
        <f t="shared" si="3"/>
        <v>29.973333333333333</v>
      </c>
      <c r="L9" s="3">
        <f t="shared" si="4"/>
        <v>3.921875</v>
      </c>
      <c r="M9" s="5">
        <f t="shared" si="5"/>
        <v>17.233333333333334</v>
      </c>
      <c r="N9" s="4">
        <f t="shared" si="6"/>
        <v>2</v>
      </c>
    </row>
    <row r="10" spans="1:14" ht="18" x14ac:dyDescent="0.3">
      <c r="A10" s="35" t="s">
        <v>14</v>
      </c>
      <c r="B10" s="36">
        <v>247.7</v>
      </c>
      <c r="C10" s="37">
        <v>5900</v>
      </c>
      <c r="D10" s="36">
        <v>2.8</v>
      </c>
      <c r="E10" s="38">
        <v>100000000</v>
      </c>
      <c r="F10" s="39">
        <v>1</v>
      </c>
      <c r="I10" s="2" t="s">
        <v>14</v>
      </c>
      <c r="J10" s="3">
        <f t="shared" si="2"/>
        <v>247.7</v>
      </c>
      <c r="K10" s="3">
        <f t="shared" si="3"/>
        <v>39.333333333333336</v>
      </c>
      <c r="L10" s="3">
        <f t="shared" si="4"/>
        <v>0.21874999999999997</v>
      </c>
      <c r="M10" s="5">
        <f t="shared" si="5"/>
        <v>1.6666666666666666E-2</v>
      </c>
      <c r="N10" s="4">
        <f t="shared" si="6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115" zoomScaleNormal="115" workbookViewId="0">
      <selection activeCell="B3" sqref="B3"/>
    </sheetView>
  </sheetViews>
  <sheetFormatPr defaultRowHeight="14.4" x14ac:dyDescent="0.3"/>
  <cols>
    <col min="1" max="1" width="10" customWidth="1"/>
    <col min="2" max="2" width="29.5546875" customWidth="1"/>
    <col min="3" max="3" width="20.33203125" customWidth="1"/>
    <col min="6" max="6" width="12.33203125" customWidth="1"/>
  </cols>
  <sheetData>
    <row r="1" spans="1:7" ht="42.75" customHeight="1" x14ac:dyDescent="0.3">
      <c r="A1" s="7" t="s">
        <v>0</v>
      </c>
      <c r="B1" s="11" t="s">
        <v>1</v>
      </c>
      <c r="C1" s="11" t="s">
        <v>15</v>
      </c>
      <c r="D1" s="11" t="s">
        <v>16</v>
      </c>
      <c r="E1" s="11" t="s">
        <v>17</v>
      </c>
      <c r="F1" s="9" t="s">
        <v>5</v>
      </c>
      <c r="G1" s="8"/>
    </row>
    <row r="2" spans="1:7" x14ac:dyDescent="0.3">
      <c r="A2" s="7" t="s">
        <v>11</v>
      </c>
      <c r="B2" s="10">
        <v>29.46</v>
      </c>
      <c r="C2" s="10">
        <v>9.5066666666666659</v>
      </c>
      <c r="D2" s="10">
        <v>9.390625</v>
      </c>
      <c r="E2" s="10">
        <v>95.15</v>
      </c>
      <c r="F2" s="10">
        <v>17</v>
      </c>
    </row>
    <row r="3" spans="1:7" x14ac:dyDescent="0.3">
      <c r="A3" s="7" t="s">
        <v>10</v>
      </c>
      <c r="B3" s="10">
        <v>11.86</v>
      </c>
      <c r="C3" s="10">
        <v>5.1866666666666665</v>
      </c>
      <c r="D3" s="10">
        <v>11.140624999999998</v>
      </c>
      <c r="E3" s="10">
        <v>317.83333333333331</v>
      </c>
      <c r="F3" s="10">
        <v>16</v>
      </c>
    </row>
    <row r="4" spans="1:7" x14ac:dyDescent="0.3">
      <c r="A4" s="7" t="s">
        <v>12</v>
      </c>
      <c r="B4" s="10">
        <v>84.01</v>
      </c>
      <c r="C4" s="10">
        <v>19.126666666666665</v>
      </c>
      <c r="D4" s="10">
        <v>3.828125</v>
      </c>
      <c r="E4" s="10">
        <v>14.54</v>
      </c>
      <c r="F4" s="10">
        <v>14</v>
      </c>
    </row>
    <row r="5" spans="1:7" x14ac:dyDescent="0.3">
      <c r="A5" s="7" t="s">
        <v>9</v>
      </c>
      <c r="B5" s="10">
        <v>1.881</v>
      </c>
      <c r="C5" s="10">
        <v>1.92</v>
      </c>
      <c r="D5" s="10">
        <v>0.53125</v>
      </c>
      <c r="E5" s="10">
        <v>0.10166666666666667</v>
      </c>
      <c r="F5" s="10">
        <v>2</v>
      </c>
    </row>
    <row r="6" spans="1:7" x14ac:dyDescent="0.3">
      <c r="A6" s="7" t="s">
        <v>13</v>
      </c>
      <c r="B6" s="10">
        <v>164.8</v>
      </c>
      <c r="C6" s="10">
        <v>29.973333333333333</v>
      </c>
      <c r="D6" s="10">
        <v>3.921875</v>
      </c>
      <c r="E6" s="10">
        <v>17.233333333333334</v>
      </c>
      <c r="F6" s="10">
        <v>2</v>
      </c>
    </row>
    <row r="7" spans="1:7" x14ac:dyDescent="0.3">
      <c r="A7" s="7" t="s">
        <v>8</v>
      </c>
      <c r="B7" s="10">
        <v>1</v>
      </c>
      <c r="C7" s="10">
        <v>1</v>
      </c>
      <c r="D7" s="10">
        <v>1</v>
      </c>
      <c r="E7" s="10">
        <v>1</v>
      </c>
      <c r="F7" s="10">
        <v>1</v>
      </c>
    </row>
    <row r="8" spans="1:7" x14ac:dyDescent="0.3">
      <c r="A8" s="7" t="s">
        <v>14</v>
      </c>
      <c r="B8" s="10">
        <v>247.7</v>
      </c>
      <c r="C8" s="10">
        <v>39.333333333333336</v>
      </c>
      <c r="D8" s="10">
        <v>0.21874999999999997</v>
      </c>
      <c r="E8" s="10">
        <v>1.6666666666666666E-2</v>
      </c>
      <c r="F8" s="10">
        <v>1</v>
      </c>
    </row>
    <row r="9" spans="1:7" x14ac:dyDescent="0.3">
      <c r="A9" s="7" t="s">
        <v>6</v>
      </c>
      <c r="B9" s="10">
        <v>0.24099999999999999</v>
      </c>
      <c r="C9" s="10">
        <v>0.38666666666666666</v>
      </c>
      <c r="D9" s="10">
        <v>0.3828125</v>
      </c>
      <c r="E9" s="10">
        <v>5.3333333333333337E-2</v>
      </c>
      <c r="F9" s="10">
        <v>0</v>
      </c>
    </row>
    <row r="10" spans="1:7" x14ac:dyDescent="0.3">
      <c r="A10" s="7" t="s">
        <v>7</v>
      </c>
      <c r="B10" s="10">
        <v>0.61499999999999999</v>
      </c>
      <c r="C10" s="10">
        <v>0.72</v>
      </c>
      <c r="D10" s="10">
        <v>0.94531249999999989</v>
      </c>
      <c r="E10" s="10">
        <v>0.81</v>
      </c>
      <c r="F10" s="10">
        <v>0</v>
      </c>
    </row>
  </sheetData>
  <sortState xmlns:xlrd2="http://schemas.microsoft.com/office/spreadsheetml/2017/richdata2" ref="A2:F10">
    <sortCondition descending="1" ref="F2:F10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H3" sqref="H3"/>
    </sheetView>
  </sheetViews>
  <sheetFormatPr defaultRowHeight="14.4" x14ac:dyDescent="0.3"/>
  <cols>
    <col min="2" max="2" width="31.5546875" customWidth="1"/>
    <col min="3" max="3" width="25" customWidth="1"/>
    <col min="6" max="6" width="13.109375" customWidth="1"/>
  </cols>
  <sheetData>
    <row r="1" spans="1:7" ht="28.8" x14ac:dyDescent="0.3">
      <c r="A1" s="11" t="s">
        <v>0</v>
      </c>
      <c r="B1" s="11" t="s">
        <v>1</v>
      </c>
      <c r="C1" s="11" t="s">
        <v>15</v>
      </c>
      <c r="D1" s="11" t="s">
        <v>16</v>
      </c>
      <c r="E1" s="11" t="s">
        <v>17</v>
      </c>
      <c r="F1" s="9" t="s">
        <v>5</v>
      </c>
      <c r="G1" s="29"/>
    </row>
    <row r="2" spans="1:7" x14ac:dyDescent="0.3">
      <c r="A2" s="7" t="s">
        <v>7</v>
      </c>
      <c r="B2" s="10">
        <v>0.61499999999999999</v>
      </c>
      <c r="C2" s="10">
        <v>0.72</v>
      </c>
      <c r="D2" s="10">
        <v>0.94531249999999989</v>
      </c>
      <c r="E2" s="10">
        <v>0.81</v>
      </c>
      <c r="F2" s="10">
        <v>0</v>
      </c>
    </row>
    <row r="3" spans="1:7" x14ac:dyDescent="0.3">
      <c r="A3" s="7" t="s">
        <v>8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</row>
    <row r="4" spans="1:7" x14ac:dyDescent="0.3">
      <c r="A4" s="7" t="s">
        <v>9</v>
      </c>
      <c r="B4" s="10">
        <v>1.881</v>
      </c>
      <c r="C4" s="10">
        <v>1.92</v>
      </c>
      <c r="D4" s="10">
        <v>0.53125</v>
      </c>
      <c r="E4" s="10">
        <v>0.10166666666666667</v>
      </c>
      <c r="F4" s="10">
        <v>2</v>
      </c>
    </row>
    <row r="5" spans="1:7" x14ac:dyDescent="0.3">
      <c r="A5" s="7" t="s">
        <v>6</v>
      </c>
      <c r="B5" s="10">
        <v>0.24099999999999999</v>
      </c>
      <c r="C5" s="10">
        <v>0.38666666666666666</v>
      </c>
      <c r="D5" s="10">
        <v>0.3828125</v>
      </c>
      <c r="E5" s="10">
        <v>5.3333333333333337E-2</v>
      </c>
      <c r="F5" s="10">
        <v>0</v>
      </c>
    </row>
    <row r="6" spans="1:7" x14ac:dyDescent="0.3">
      <c r="A6" s="7" t="s">
        <v>13</v>
      </c>
      <c r="B6" s="10">
        <v>164.8</v>
      </c>
      <c r="C6" s="10">
        <v>29.973333333333333</v>
      </c>
      <c r="D6" s="10">
        <v>3.921875</v>
      </c>
      <c r="E6" s="10">
        <v>17.233333333333334</v>
      </c>
      <c r="F6" s="10">
        <v>2</v>
      </c>
    </row>
    <row r="7" spans="1:7" x14ac:dyDescent="0.3">
      <c r="A7" s="7" t="s">
        <v>14</v>
      </c>
      <c r="B7" s="10">
        <v>247.7</v>
      </c>
      <c r="C7" s="10">
        <v>39.333333333333336</v>
      </c>
      <c r="D7" s="10">
        <v>0.21874999999999997</v>
      </c>
      <c r="E7" s="10">
        <v>1.6666666666666666E-2</v>
      </c>
      <c r="F7" s="10">
        <v>1</v>
      </c>
    </row>
    <row r="8" spans="1:7" x14ac:dyDescent="0.3">
      <c r="A8" s="7" t="s">
        <v>11</v>
      </c>
      <c r="B8" s="10">
        <v>29.46</v>
      </c>
      <c r="C8" s="10">
        <v>9.5066666666666659</v>
      </c>
      <c r="D8" s="10">
        <v>9.390625</v>
      </c>
      <c r="E8" s="10">
        <v>95.15</v>
      </c>
      <c r="F8" s="10">
        <v>17</v>
      </c>
    </row>
    <row r="9" spans="1:7" x14ac:dyDescent="0.3">
      <c r="A9" s="7" t="s">
        <v>12</v>
      </c>
      <c r="B9" s="10">
        <v>84.01</v>
      </c>
      <c r="C9" s="10">
        <v>19.126666666666665</v>
      </c>
      <c r="D9" s="10">
        <v>3.828125</v>
      </c>
      <c r="E9" s="10">
        <v>14.54</v>
      </c>
      <c r="F9" s="10">
        <v>14</v>
      </c>
    </row>
    <row r="10" spans="1:7" x14ac:dyDescent="0.3">
      <c r="A10" s="7" t="s">
        <v>10</v>
      </c>
      <c r="B10" s="10">
        <v>11.86</v>
      </c>
      <c r="C10" s="10">
        <v>5.1866666666666665</v>
      </c>
      <c r="D10" s="10">
        <v>11.140624999999998</v>
      </c>
      <c r="E10" s="10">
        <v>317.83333333333331</v>
      </c>
      <c r="F10" s="10">
        <v>16</v>
      </c>
    </row>
  </sheetData>
  <sortState xmlns:xlrd2="http://schemas.microsoft.com/office/spreadsheetml/2017/richdata2" ref="A2:F10">
    <sortCondition ref="A2:A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J11" sqref="J11"/>
    </sheetView>
  </sheetViews>
  <sheetFormatPr defaultRowHeight="14.4" x14ac:dyDescent="0.3"/>
  <cols>
    <col min="2" max="2" width="29.88671875" customWidth="1"/>
    <col min="3" max="3" width="21.109375" customWidth="1"/>
    <col min="6" max="6" width="13.109375" customWidth="1"/>
  </cols>
  <sheetData>
    <row r="1" spans="1:7" ht="28.8" x14ac:dyDescent="0.3">
      <c r="A1" s="11" t="s">
        <v>0</v>
      </c>
      <c r="B1" s="11" t="s">
        <v>1</v>
      </c>
      <c r="C1" s="11" t="s">
        <v>15</v>
      </c>
      <c r="D1" s="11" t="s">
        <v>16</v>
      </c>
      <c r="E1" s="11" t="s">
        <v>17</v>
      </c>
      <c r="F1" s="9" t="s">
        <v>5</v>
      </c>
      <c r="G1" s="8"/>
    </row>
    <row r="2" spans="1:7" x14ac:dyDescent="0.3">
      <c r="A2" s="7" t="s">
        <v>14</v>
      </c>
      <c r="B2" s="10">
        <v>247.7</v>
      </c>
      <c r="C2" s="10">
        <v>39.333333333333336</v>
      </c>
      <c r="D2" s="10">
        <v>0.21874999999999997</v>
      </c>
      <c r="E2" s="10">
        <v>1.6666666666666666E-2</v>
      </c>
      <c r="F2" s="10">
        <v>1</v>
      </c>
    </row>
    <row r="3" spans="1:7" x14ac:dyDescent="0.3">
      <c r="A3" s="7" t="s">
        <v>6</v>
      </c>
      <c r="B3" s="10">
        <v>0.24099999999999999</v>
      </c>
      <c r="C3" s="10">
        <v>0.38666666666666666</v>
      </c>
      <c r="D3" s="10">
        <v>0.3828125</v>
      </c>
      <c r="E3" s="10">
        <v>5.3333333333333337E-2</v>
      </c>
      <c r="F3" s="10">
        <v>0</v>
      </c>
    </row>
    <row r="4" spans="1:7" x14ac:dyDescent="0.3">
      <c r="A4" s="7" t="s">
        <v>9</v>
      </c>
      <c r="B4" s="10">
        <v>1.881</v>
      </c>
      <c r="C4" s="10">
        <v>1.92</v>
      </c>
      <c r="D4" s="10">
        <v>0.53125</v>
      </c>
      <c r="E4" s="10">
        <v>0.10166666666666667</v>
      </c>
      <c r="F4" s="10">
        <v>2</v>
      </c>
    </row>
    <row r="5" spans="1:7" x14ac:dyDescent="0.3">
      <c r="A5" s="7" t="s">
        <v>7</v>
      </c>
      <c r="B5" s="10">
        <v>0.61499999999999999</v>
      </c>
      <c r="C5" s="10">
        <v>0.72</v>
      </c>
      <c r="D5" s="10">
        <v>0.94531249999999989</v>
      </c>
      <c r="E5" s="10">
        <v>0.81</v>
      </c>
      <c r="F5" s="10">
        <v>0</v>
      </c>
    </row>
    <row r="6" spans="1:7" x14ac:dyDescent="0.3">
      <c r="A6" s="7" t="s">
        <v>8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</row>
    <row r="7" spans="1:7" x14ac:dyDescent="0.3">
      <c r="A7" s="7" t="s">
        <v>12</v>
      </c>
      <c r="B7" s="10">
        <v>84.01</v>
      </c>
      <c r="C7" s="10">
        <v>19.126666666666665</v>
      </c>
      <c r="D7" s="10">
        <v>3.828125</v>
      </c>
      <c r="E7" s="10">
        <v>14.54</v>
      </c>
      <c r="F7" s="10">
        <v>14</v>
      </c>
    </row>
    <row r="8" spans="1:7" x14ac:dyDescent="0.3">
      <c r="A8" s="7" t="s">
        <v>13</v>
      </c>
      <c r="B8" s="10">
        <v>164.8</v>
      </c>
      <c r="C8" s="10">
        <v>29.973333333333333</v>
      </c>
      <c r="D8" s="10">
        <v>3.921875</v>
      </c>
      <c r="E8" s="10">
        <v>17.233333333333334</v>
      </c>
      <c r="F8" s="10">
        <v>2</v>
      </c>
    </row>
    <row r="9" spans="1:7" x14ac:dyDescent="0.3">
      <c r="A9" s="7" t="s">
        <v>11</v>
      </c>
      <c r="B9" s="10">
        <v>29.46</v>
      </c>
      <c r="C9" s="10">
        <v>9.5066666666666659</v>
      </c>
      <c r="D9" s="10">
        <v>9.390625</v>
      </c>
      <c r="E9" s="10">
        <v>95.15</v>
      </c>
      <c r="F9" s="10">
        <v>17</v>
      </c>
    </row>
    <row r="10" spans="1:7" x14ac:dyDescent="0.3">
      <c r="A10" s="7" t="s">
        <v>10</v>
      </c>
      <c r="B10" s="10">
        <v>11.86</v>
      </c>
      <c r="C10" s="10">
        <v>5.1866666666666665</v>
      </c>
      <c r="D10" s="10">
        <v>11.140624999999998</v>
      </c>
      <c r="E10" s="10">
        <v>317.83333333333331</v>
      </c>
      <c r="F10" s="10">
        <v>16</v>
      </c>
    </row>
  </sheetData>
  <sortState xmlns:xlrd2="http://schemas.microsoft.com/office/spreadsheetml/2017/richdata2" ref="A2:F10">
    <sortCondition ref="E2:E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topLeftCell="A4" workbookViewId="0">
      <selection activeCell="G8" sqref="G8"/>
    </sheetView>
  </sheetViews>
  <sheetFormatPr defaultRowHeight="14.4" x14ac:dyDescent="0.3"/>
  <cols>
    <col min="2" max="2" width="13.5546875" customWidth="1"/>
    <col min="3" max="3" width="11.5546875" customWidth="1"/>
    <col min="6" max="6" width="18" customWidth="1"/>
  </cols>
  <sheetData>
    <row r="1" spans="1:7" ht="48" customHeight="1" x14ac:dyDescent="0.3">
      <c r="A1" s="12" t="s">
        <v>0</v>
      </c>
      <c r="B1" s="9" t="s">
        <v>1</v>
      </c>
      <c r="C1" s="9" t="s">
        <v>15</v>
      </c>
      <c r="D1" s="12" t="s">
        <v>16</v>
      </c>
      <c r="E1" s="11" t="s">
        <v>17</v>
      </c>
      <c r="F1" s="9" t="s">
        <v>5</v>
      </c>
      <c r="G1" s="8"/>
    </row>
    <row r="2" spans="1:7" x14ac:dyDescent="0.3">
      <c r="A2" s="7" t="s">
        <v>6</v>
      </c>
      <c r="B2" s="10">
        <v>0.24099999999999999</v>
      </c>
      <c r="C2" s="10">
        <v>0.38666666666666666</v>
      </c>
      <c r="D2" s="10">
        <v>0.3828125</v>
      </c>
      <c r="E2" s="10">
        <v>5.3333333333333337E-2</v>
      </c>
      <c r="F2" s="10">
        <v>0</v>
      </c>
    </row>
    <row r="3" spans="1:7" x14ac:dyDescent="0.3">
      <c r="A3" s="7" t="s">
        <v>7</v>
      </c>
      <c r="B3" s="10">
        <v>0.61499999999999999</v>
      </c>
      <c r="C3" s="10">
        <v>0.72</v>
      </c>
      <c r="D3" s="10">
        <v>0.94531249999999989</v>
      </c>
      <c r="E3" s="10">
        <v>0.81</v>
      </c>
      <c r="F3" s="10">
        <v>0</v>
      </c>
    </row>
    <row r="4" spans="1:7" x14ac:dyDescent="0.3">
      <c r="A4" s="7" t="s">
        <v>8</v>
      </c>
      <c r="B4" s="10">
        <v>1</v>
      </c>
      <c r="C4" s="10">
        <v>1</v>
      </c>
      <c r="D4" s="10">
        <v>1</v>
      </c>
      <c r="E4" s="10">
        <v>1</v>
      </c>
      <c r="F4" s="10">
        <v>1</v>
      </c>
    </row>
    <row r="5" spans="1:7" x14ac:dyDescent="0.3">
      <c r="A5" s="7" t="s">
        <v>9</v>
      </c>
      <c r="B5" s="10">
        <v>1.881</v>
      </c>
      <c r="C5" s="10">
        <v>1.92</v>
      </c>
      <c r="D5" s="10">
        <v>0.53125</v>
      </c>
      <c r="E5" s="10">
        <v>0.10166666666666667</v>
      </c>
      <c r="F5" s="10">
        <v>2</v>
      </c>
    </row>
    <row r="6" spans="1:7" x14ac:dyDescent="0.3">
      <c r="A6" s="7" t="s">
        <v>10</v>
      </c>
      <c r="B6" s="10">
        <v>11.86</v>
      </c>
      <c r="C6" s="10">
        <v>5.1866666666666665</v>
      </c>
      <c r="D6" s="10">
        <v>11.140624999999998</v>
      </c>
      <c r="E6" s="10">
        <v>317.83333333333331</v>
      </c>
      <c r="F6" s="10">
        <v>16</v>
      </c>
    </row>
    <row r="7" spans="1:7" x14ac:dyDescent="0.3">
      <c r="A7" s="7" t="s">
        <v>11</v>
      </c>
      <c r="B7" s="10">
        <v>29.46</v>
      </c>
      <c r="C7" s="10">
        <v>9.5066666666666659</v>
      </c>
      <c r="D7" s="10">
        <v>9.390625</v>
      </c>
      <c r="E7" s="10">
        <v>95.15</v>
      </c>
      <c r="F7" s="10">
        <v>17</v>
      </c>
    </row>
    <row r="8" spans="1:7" x14ac:dyDescent="0.3">
      <c r="A8" s="7" t="s">
        <v>12</v>
      </c>
      <c r="B8" s="10">
        <v>84.01</v>
      </c>
      <c r="C8" s="10">
        <v>19.126666666666665</v>
      </c>
      <c r="D8" s="10">
        <v>3.828125</v>
      </c>
      <c r="E8" s="10">
        <v>14.54</v>
      </c>
      <c r="F8" s="10">
        <v>14</v>
      </c>
    </row>
    <row r="9" spans="1:7" x14ac:dyDescent="0.3">
      <c r="A9" s="7" t="s">
        <v>13</v>
      </c>
      <c r="B9" s="10">
        <v>164.8</v>
      </c>
      <c r="C9" s="10">
        <v>29.973333333333333</v>
      </c>
      <c r="D9" s="10">
        <v>3.921875</v>
      </c>
      <c r="E9" s="10">
        <v>17.233333333333334</v>
      </c>
      <c r="F9" s="10">
        <v>2</v>
      </c>
    </row>
    <row r="10" spans="1:7" x14ac:dyDescent="0.3">
      <c r="A10" s="7" t="s">
        <v>14</v>
      </c>
      <c r="B10" s="10">
        <v>247.7</v>
      </c>
      <c r="C10" s="10">
        <v>39.333333333333336</v>
      </c>
      <c r="D10" s="10">
        <v>0.21874999999999997</v>
      </c>
      <c r="E10" s="10">
        <v>1.6666666666666666E-2</v>
      </c>
      <c r="F10" s="10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F10"/>
  <sheetViews>
    <sheetView workbookViewId="0">
      <selection activeCell="I11" sqref="I11"/>
    </sheetView>
  </sheetViews>
  <sheetFormatPr defaultRowHeight="14.4" x14ac:dyDescent="0.3"/>
  <cols>
    <col min="2" max="2" width="20.109375" customWidth="1"/>
    <col min="3" max="3" width="18.6640625" customWidth="1"/>
    <col min="6" max="6" width="14.6640625" customWidth="1"/>
  </cols>
  <sheetData>
    <row r="1" spans="1:6" ht="28.8" x14ac:dyDescent="0.3">
      <c r="A1" s="12" t="s">
        <v>0</v>
      </c>
      <c r="B1" s="9" t="s">
        <v>1</v>
      </c>
      <c r="C1" s="9" t="s">
        <v>15</v>
      </c>
      <c r="D1" s="12" t="s">
        <v>16</v>
      </c>
      <c r="E1" s="11" t="s">
        <v>17</v>
      </c>
      <c r="F1" s="9" t="s">
        <v>5</v>
      </c>
    </row>
    <row r="2" spans="1:6" hidden="1" x14ac:dyDescent="0.3">
      <c r="A2" s="7" t="s">
        <v>6</v>
      </c>
      <c r="B2" s="7">
        <v>0.24099999999999999</v>
      </c>
      <c r="C2" s="7" t="s">
        <v>18</v>
      </c>
      <c r="D2" s="7">
        <v>0.3828125</v>
      </c>
      <c r="E2" s="7">
        <v>5.3333333333333337E-2</v>
      </c>
      <c r="F2" s="7" t="s">
        <v>19</v>
      </c>
    </row>
    <row r="3" spans="1:6" hidden="1" x14ac:dyDescent="0.3">
      <c r="A3" s="7" t="s">
        <v>7</v>
      </c>
      <c r="B3" s="7">
        <v>0.61499999999999999</v>
      </c>
      <c r="C3" s="7">
        <v>0.72</v>
      </c>
      <c r="D3" s="7">
        <v>0.94531249999999989</v>
      </c>
      <c r="E3" s="7">
        <v>0.81</v>
      </c>
      <c r="F3" s="7">
        <v>0</v>
      </c>
    </row>
    <row r="4" spans="1:6" hidden="1" x14ac:dyDescent="0.3">
      <c r="A4" s="7" t="s">
        <v>8</v>
      </c>
      <c r="B4" s="7">
        <v>1</v>
      </c>
      <c r="C4" s="7">
        <v>1</v>
      </c>
      <c r="D4" s="7">
        <v>1</v>
      </c>
      <c r="E4" s="7">
        <v>1</v>
      </c>
      <c r="F4" s="7">
        <v>1</v>
      </c>
    </row>
    <row r="5" spans="1:6" hidden="1" x14ac:dyDescent="0.3">
      <c r="A5" s="7" t="s">
        <v>9</v>
      </c>
      <c r="B5" s="7">
        <v>1.881</v>
      </c>
      <c r="C5" s="7">
        <v>1.92</v>
      </c>
      <c r="D5" s="7">
        <v>0.53125</v>
      </c>
      <c r="E5" s="7">
        <v>0.10166666666666667</v>
      </c>
      <c r="F5" s="7">
        <v>2</v>
      </c>
    </row>
    <row r="6" spans="1:6" hidden="1" x14ac:dyDescent="0.3">
      <c r="A6" s="7" t="s">
        <v>10</v>
      </c>
      <c r="B6" s="7">
        <v>11.86</v>
      </c>
      <c r="C6" s="7">
        <v>5.1866666666666665</v>
      </c>
      <c r="D6" s="7">
        <v>11.140624999999998</v>
      </c>
      <c r="E6" s="7">
        <v>317.83333333333331</v>
      </c>
      <c r="F6" s="7">
        <v>16</v>
      </c>
    </row>
    <row r="7" spans="1:6" hidden="1" x14ac:dyDescent="0.3">
      <c r="A7" s="7" t="s">
        <v>11</v>
      </c>
      <c r="B7" s="7">
        <v>29.46</v>
      </c>
      <c r="C7" s="7">
        <v>9.5066666666666659</v>
      </c>
      <c r="D7" s="7">
        <v>9.390625</v>
      </c>
      <c r="E7" s="7">
        <v>95.15</v>
      </c>
      <c r="F7" s="7">
        <v>17</v>
      </c>
    </row>
    <row r="8" spans="1:6" x14ac:dyDescent="0.3">
      <c r="A8" s="7" t="s">
        <v>12</v>
      </c>
      <c r="B8" s="7">
        <v>84.01</v>
      </c>
      <c r="C8" s="7">
        <v>19.126666666666665</v>
      </c>
      <c r="D8" s="7">
        <v>3.828125</v>
      </c>
      <c r="E8" s="7">
        <v>14.54</v>
      </c>
      <c r="F8" s="7">
        <v>14</v>
      </c>
    </row>
    <row r="9" spans="1:6" x14ac:dyDescent="0.3">
      <c r="A9" s="7" t="s">
        <v>13</v>
      </c>
      <c r="B9" s="7">
        <v>164.8</v>
      </c>
      <c r="C9" s="7">
        <v>29.973333333333333</v>
      </c>
      <c r="D9" s="7">
        <v>3.921875</v>
      </c>
      <c r="E9" s="7">
        <v>17.233333333333334</v>
      </c>
      <c r="F9" s="7">
        <v>2</v>
      </c>
    </row>
    <row r="10" spans="1:6" x14ac:dyDescent="0.3">
      <c r="A10" s="7" t="s">
        <v>14</v>
      </c>
      <c r="B10" s="7">
        <v>247.7</v>
      </c>
      <c r="C10" s="7">
        <v>39.333333333333336</v>
      </c>
      <c r="D10" s="7">
        <v>0.21874999999999997</v>
      </c>
      <c r="E10" s="7">
        <v>1.6666666666666666E-2</v>
      </c>
      <c r="F10" s="7">
        <v>1</v>
      </c>
    </row>
  </sheetData>
  <autoFilter ref="A1:F10" xr:uid="{00000000-0009-0000-0000-000005000000}">
    <filterColumn colId="1">
      <filters>
        <filter val="164,8"/>
        <filter val="247,7"/>
        <filter val="84,01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10"/>
  <sheetViews>
    <sheetView workbookViewId="0">
      <selection activeCell="I12" sqref="I12"/>
    </sheetView>
  </sheetViews>
  <sheetFormatPr defaultRowHeight="14.4" x14ac:dyDescent="0.3"/>
  <cols>
    <col min="2" max="2" width="17.88671875" customWidth="1"/>
    <col min="3" max="3" width="15.109375" customWidth="1"/>
    <col min="6" max="6" width="19.44140625" customWidth="1"/>
  </cols>
  <sheetData>
    <row r="1" spans="1:6" ht="43.2" x14ac:dyDescent="0.3">
      <c r="A1" s="12" t="s">
        <v>0</v>
      </c>
      <c r="B1" s="9" t="s">
        <v>1</v>
      </c>
      <c r="C1" s="9" t="s">
        <v>15</v>
      </c>
      <c r="D1" s="12" t="s">
        <v>16</v>
      </c>
      <c r="E1" s="11" t="s">
        <v>17</v>
      </c>
      <c r="F1" s="9" t="s">
        <v>5</v>
      </c>
    </row>
    <row r="2" spans="1:6" hidden="1" x14ac:dyDescent="0.3">
      <c r="A2" s="7" t="s">
        <v>6</v>
      </c>
      <c r="B2" s="7">
        <v>0.24099999999999999</v>
      </c>
      <c r="C2" s="7">
        <v>0.38666666666666666</v>
      </c>
      <c r="D2" s="7">
        <v>0.3828125</v>
      </c>
      <c r="E2" s="7">
        <v>5.3333333333333337E-2</v>
      </c>
      <c r="F2" s="7">
        <v>0</v>
      </c>
    </row>
    <row r="3" spans="1:6" hidden="1" x14ac:dyDescent="0.3">
      <c r="A3" s="7" t="s">
        <v>7</v>
      </c>
      <c r="B3" s="7">
        <v>0.61499999999999999</v>
      </c>
      <c r="C3" s="7">
        <v>0.72</v>
      </c>
      <c r="D3" s="7">
        <v>0.94531249999999989</v>
      </c>
      <c r="E3" s="7">
        <v>0.81</v>
      </c>
      <c r="F3" s="7">
        <v>0</v>
      </c>
    </row>
    <row r="4" spans="1:6" x14ac:dyDescent="0.3">
      <c r="A4" s="7" t="s">
        <v>8</v>
      </c>
      <c r="B4" s="10">
        <v>1</v>
      </c>
      <c r="C4" s="10">
        <v>1</v>
      </c>
      <c r="D4" s="10">
        <v>1</v>
      </c>
      <c r="E4" s="10">
        <v>1</v>
      </c>
      <c r="F4" s="10">
        <v>1</v>
      </c>
    </row>
    <row r="5" spans="1:6" hidden="1" x14ac:dyDescent="0.3">
      <c r="A5" s="7" t="s">
        <v>9</v>
      </c>
      <c r="B5" s="7">
        <v>1.881</v>
      </c>
      <c r="C5" s="7">
        <v>1.92</v>
      </c>
      <c r="D5" s="7">
        <v>0.53125</v>
      </c>
      <c r="E5" s="7">
        <v>0.10166666666666667</v>
      </c>
      <c r="F5" s="7">
        <v>2</v>
      </c>
    </row>
    <row r="6" spans="1:6" hidden="1" x14ac:dyDescent="0.3">
      <c r="A6" s="7" t="s">
        <v>10</v>
      </c>
      <c r="B6" s="7">
        <v>11.86</v>
      </c>
      <c r="C6" s="7">
        <v>5.1866666666666665</v>
      </c>
      <c r="D6" s="7">
        <v>11.140624999999998</v>
      </c>
      <c r="E6" s="7">
        <v>317.83333333333331</v>
      </c>
      <c r="F6" s="7">
        <v>16</v>
      </c>
    </row>
    <row r="7" spans="1:6" hidden="1" x14ac:dyDescent="0.3">
      <c r="A7" s="7" t="s">
        <v>11</v>
      </c>
      <c r="B7" s="7">
        <v>29.46</v>
      </c>
      <c r="C7" s="7">
        <v>9.5066666666666659</v>
      </c>
      <c r="D7" s="7">
        <v>9.390625</v>
      </c>
      <c r="E7" s="7">
        <v>95.15</v>
      </c>
      <c r="F7" s="7">
        <v>17</v>
      </c>
    </row>
    <row r="8" spans="1:6" hidden="1" x14ac:dyDescent="0.3">
      <c r="A8" s="7" t="s">
        <v>12</v>
      </c>
      <c r="B8" s="7">
        <v>84.01</v>
      </c>
      <c r="C8" s="7">
        <v>19.126666666666665</v>
      </c>
      <c r="D8" s="7">
        <v>3.828125</v>
      </c>
      <c r="E8" s="7">
        <v>14.54</v>
      </c>
      <c r="F8" s="7">
        <v>14</v>
      </c>
    </row>
    <row r="9" spans="1:6" x14ac:dyDescent="0.3">
      <c r="A9" s="7" t="s">
        <v>13</v>
      </c>
      <c r="B9" s="10">
        <v>164.8</v>
      </c>
      <c r="C9" s="10">
        <v>29.973333333333333</v>
      </c>
      <c r="D9" s="10">
        <v>3.921875</v>
      </c>
      <c r="E9" s="10">
        <v>17.233333333333334</v>
      </c>
      <c r="F9" s="10">
        <v>2</v>
      </c>
    </row>
    <row r="10" spans="1:6" hidden="1" x14ac:dyDescent="0.3">
      <c r="A10" s="7" t="s">
        <v>14</v>
      </c>
      <c r="B10" s="7">
        <v>247.7</v>
      </c>
      <c r="C10" s="7">
        <v>39.333333333333336</v>
      </c>
      <c r="D10" s="7">
        <v>0.21874999999999997</v>
      </c>
      <c r="E10" s="7">
        <v>1.6666666666666666E-2</v>
      </c>
      <c r="F10" s="7">
        <v>1</v>
      </c>
    </row>
  </sheetData>
  <autoFilter ref="A1:F10" xr:uid="{00000000-0009-0000-0000-000006000000}">
    <filterColumn colId="2">
      <filters>
        <filter val="0,72"/>
        <filter val="1"/>
        <filter val="1,92"/>
        <filter val="19,12666667"/>
        <filter val="29,97333333"/>
        <filter val="39,33333333"/>
        <filter val="5,186666667"/>
        <filter val="9,506666667"/>
      </filters>
    </filterColumn>
    <filterColumn colId="4">
      <filters>
        <filter val="1"/>
        <filter val="14,54"/>
        <filter val="17,23333333"/>
        <filter val="95,15"/>
      </filters>
    </filterColumn>
    <filterColumn colId="5">
      <filters>
        <filter val="1"/>
        <filter val="2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F10"/>
  <sheetViews>
    <sheetView workbookViewId="0"/>
  </sheetViews>
  <sheetFormatPr defaultRowHeight="14.4" x14ac:dyDescent="0.3"/>
  <cols>
    <col min="2" max="2" width="16.44140625" customWidth="1"/>
    <col min="3" max="3" width="18.109375" customWidth="1"/>
    <col min="6" max="6" width="18.109375" customWidth="1"/>
  </cols>
  <sheetData>
    <row r="1" spans="1:6" ht="43.2" x14ac:dyDescent="0.3">
      <c r="A1" s="12" t="s">
        <v>0</v>
      </c>
      <c r="B1" s="9" t="s">
        <v>1</v>
      </c>
      <c r="C1" s="9" t="s">
        <v>15</v>
      </c>
      <c r="D1" s="12" t="s">
        <v>16</v>
      </c>
      <c r="E1" s="11" t="s">
        <v>17</v>
      </c>
      <c r="F1" s="9" t="s">
        <v>5</v>
      </c>
    </row>
    <row r="2" spans="1:6" hidden="1" x14ac:dyDescent="0.3">
      <c r="A2" s="7" t="s">
        <v>6</v>
      </c>
      <c r="B2" s="7">
        <v>0.24099999999999999</v>
      </c>
      <c r="C2" s="7">
        <v>0.38666666666666666</v>
      </c>
      <c r="D2" s="7">
        <v>0.3828125</v>
      </c>
      <c r="E2" s="7">
        <v>5.3333333333333337E-2</v>
      </c>
      <c r="F2" s="7">
        <v>0</v>
      </c>
    </row>
    <row r="3" spans="1:6" hidden="1" x14ac:dyDescent="0.3">
      <c r="A3" s="7" t="s">
        <v>7</v>
      </c>
      <c r="B3" s="7">
        <v>0.61499999999999999</v>
      </c>
      <c r="C3" s="7">
        <v>0.72</v>
      </c>
      <c r="D3" s="7">
        <v>0.94531249999999989</v>
      </c>
      <c r="E3" s="7">
        <v>0.81</v>
      </c>
      <c r="F3" s="7">
        <v>0</v>
      </c>
    </row>
    <row r="4" spans="1:6" hidden="1" x14ac:dyDescent="0.3">
      <c r="A4" s="7" t="s">
        <v>8</v>
      </c>
      <c r="B4" s="7">
        <v>1</v>
      </c>
      <c r="C4" s="7">
        <v>1</v>
      </c>
      <c r="D4" s="7">
        <v>1</v>
      </c>
      <c r="E4" s="7">
        <v>1</v>
      </c>
      <c r="F4" s="7">
        <v>1</v>
      </c>
    </row>
    <row r="5" spans="1:6" hidden="1" x14ac:dyDescent="0.3">
      <c r="A5" s="7" t="s">
        <v>9</v>
      </c>
      <c r="B5" s="7">
        <v>1.881</v>
      </c>
      <c r="C5" s="7">
        <v>1.92</v>
      </c>
      <c r="D5" s="7">
        <v>0.53125</v>
      </c>
      <c r="E5" s="7">
        <v>0.10166666666666667</v>
      </c>
      <c r="F5" s="7">
        <v>2</v>
      </c>
    </row>
    <row r="6" spans="1:6" x14ac:dyDescent="0.3">
      <c r="A6" s="7" t="s">
        <v>10</v>
      </c>
      <c r="B6" s="7">
        <v>11.86</v>
      </c>
      <c r="C6" s="7">
        <v>5.1866666666666665</v>
      </c>
      <c r="D6" s="7">
        <v>11.140624999999998</v>
      </c>
      <c r="E6" s="7">
        <v>317.83333333333331</v>
      </c>
      <c r="F6" s="7">
        <v>16</v>
      </c>
    </row>
    <row r="7" spans="1:6" x14ac:dyDescent="0.3">
      <c r="A7" s="7" t="s">
        <v>11</v>
      </c>
      <c r="B7" s="7">
        <v>29.46</v>
      </c>
      <c r="C7" s="7">
        <v>9.5066666666666659</v>
      </c>
      <c r="D7" s="7">
        <v>9.390625</v>
      </c>
      <c r="E7" s="7">
        <v>95.15</v>
      </c>
      <c r="F7" s="7">
        <v>17</v>
      </c>
    </row>
    <row r="8" spans="1:6" hidden="1" x14ac:dyDescent="0.3">
      <c r="A8" s="7" t="s">
        <v>12</v>
      </c>
      <c r="B8" s="7">
        <v>84.01</v>
      </c>
      <c r="C8" s="7">
        <v>19.126666666666665</v>
      </c>
      <c r="D8" s="7">
        <v>3.828125</v>
      </c>
      <c r="E8" s="7">
        <v>14.54</v>
      </c>
      <c r="F8" s="7">
        <v>14</v>
      </c>
    </row>
    <row r="9" spans="1:6" x14ac:dyDescent="0.3">
      <c r="A9" s="7" t="s">
        <v>13</v>
      </c>
      <c r="B9" s="7">
        <v>164.8</v>
      </c>
      <c r="C9" s="7">
        <v>29.973333333333333</v>
      </c>
      <c r="D9" s="7">
        <v>3.921875</v>
      </c>
      <c r="E9" s="7">
        <v>17.233333333333334</v>
      </c>
      <c r="F9" s="7">
        <v>2</v>
      </c>
    </row>
    <row r="10" spans="1:6" hidden="1" x14ac:dyDescent="0.3">
      <c r="A10" s="7" t="s">
        <v>14</v>
      </c>
      <c r="B10" s="7">
        <v>247.7</v>
      </c>
      <c r="C10" s="7">
        <v>39.333333333333336</v>
      </c>
      <c r="D10" s="7">
        <v>0.21874999999999997</v>
      </c>
      <c r="E10" s="7">
        <v>1.6666666666666666E-2</v>
      </c>
      <c r="F10" s="7">
        <v>1</v>
      </c>
    </row>
  </sheetData>
  <autoFilter ref="A1:F10" xr:uid="{00000000-0009-0000-0000-000007000000}">
    <filterColumn colId="3">
      <filters>
        <filter val="11,140625"/>
        <filter val="3,921875"/>
        <filter val="9,390625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2"/>
  <sheetViews>
    <sheetView tabSelected="1" zoomScaleNormal="100" workbookViewId="0"/>
  </sheetViews>
  <sheetFormatPr defaultRowHeight="14.4" x14ac:dyDescent="0.3"/>
  <cols>
    <col min="2" max="2" width="12.88671875" customWidth="1"/>
    <col min="3" max="3" width="11.109375" customWidth="1"/>
    <col min="10" max="10" width="13" customWidth="1"/>
    <col min="11" max="11" width="12.88671875" customWidth="1"/>
    <col min="12" max="12" width="12.109375" customWidth="1"/>
    <col min="15" max="15" width="12" customWidth="1"/>
  </cols>
  <sheetData>
    <row r="1" spans="1:15" ht="57.6" x14ac:dyDescent="0.3">
      <c r="A1" s="12" t="s">
        <v>0</v>
      </c>
      <c r="B1" s="9" t="s">
        <v>1</v>
      </c>
      <c r="C1" s="9" t="s">
        <v>15</v>
      </c>
      <c r="D1" s="12" t="s">
        <v>16</v>
      </c>
      <c r="E1" s="11" t="s">
        <v>17</v>
      </c>
      <c r="F1" s="9" t="s">
        <v>5</v>
      </c>
      <c r="I1" s="12" t="s">
        <v>0</v>
      </c>
      <c r="J1" s="9" t="s">
        <v>1</v>
      </c>
      <c r="K1" s="9" t="s">
        <v>1</v>
      </c>
      <c r="L1" s="9" t="s">
        <v>15</v>
      </c>
      <c r="M1" s="12" t="s">
        <v>16</v>
      </c>
      <c r="N1" s="11" t="s">
        <v>17</v>
      </c>
      <c r="O1" s="9" t="s">
        <v>5</v>
      </c>
    </row>
    <row r="2" spans="1:15" x14ac:dyDescent="0.3">
      <c r="A2" s="7" t="s">
        <v>6</v>
      </c>
      <c r="B2" s="7">
        <v>0.24099999999999999</v>
      </c>
      <c r="C2" s="7">
        <v>0.38666666666666666</v>
      </c>
      <c r="D2" s="7">
        <v>0.3828125</v>
      </c>
      <c r="E2" s="7">
        <v>5.3333333333333337E-2</v>
      </c>
      <c r="F2" s="7">
        <v>0</v>
      </c>
      <c r="I2" s="21"/>
      <c r="J2" s="23" t="s">
        <v>21</v>
      </c>
      <c r="K2" s="23" t="s">
        <v>22</v>
      </c>
      <c r="L2" s="22"/>
      <c r="M2" s="22"/>
      <c r="N2" s="22"/>
      <c r="O2" s="24" t="s">
        <v>23</v>
      </c>
    </row>
    <row r="3" spans="1:15" x14ac:dyDescent="0.3">
      <c r="A3" s="7" t="s">
        <v>7</v>
      </c>
      <c r="B3" s="7">
        <v>0.61499999999999999</v>
      </c>
      <c r="C3" s="7">
        <v>0.72</v>
      </c>
      <c r="D3" s="7">
        <v>0.94531249999999989</v>
      </c>
      <c r="E3" s="7">
        <v>0.81</v>
      </c>
      <c r="F3" s="7">
        <v>0</v>
      </c>
    </row>
    <row r="4" spans="1:15" ht="42.75" customHeight="1" x14ac:dyDescent="0.3">
      <c r="A4" s="7" t="s">
        <v>8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I4" s="12" t="s">
        <v>0</v>
      </c>
      <c r="J4" s="9" t="s">
        <v>1</v>
      </c>
      <c r="K4" s="9" t="s">
        <v>15</v>
      </c>
      <c r="L4" s="12" t="s">
        <v>16</v>
      </c>
      <c r="M4" s="11" t="s">
        <v>17</v>
      </c>
      <c r="N4" s="9" t="s">
        <v>5</v>
      </c>
    </row>
    <row r="5" spans="1:15" x14ac:dyDescent="0.3">
      <c r="A5" s="7" t="s">
        <v>9</v>
      </c>
      <c r="B5" s="7">
        <v>1.881</v>
      </c>
      <c r="C5" s="7">
        <v>1.92</v>
      </c>
      <c r="D5" s="7">
        <v>0.53125</v>
      </c>
      <c r="E5" s="7">
        <v>0.10166666666666667</v>
      </c>
      <c r="F5" s="7">
        <v>2</v>
      </c>
      <c r="I5" s="7" t="s">
        <v>12</v>
      </c>
      <c r="J5" s="7">
        <v>84.01</v>
      </c>
      <c r="K5" s="7">
        <v>19.126666666666665</v>
      </c>
      <c r="L5" s="7">
        <v>3.828125</v>
      </c>
      <c r="M5" s="7">
        <v>14.54</v>
      </c>
      <c r="N5" s="7">
        <v>14</v>
      </c>
    </row>
    <row r="6" spans="1:15" x14ac:dyDescent="0.3">
      <c r="A6" s="7" t="s">
        <v>10</v>
      </c>
      <c r="B6" s="7">
        <v>11.86</v>
      </c>
      <c r="C6" s="7">
        <v>5.1866666666666665</v>
      </c>
      <c r="D6" s="7">
        <v>11.140624999999998</v>
      </c>
      <c r="E6" s="7">
        <v>317.83333333333331</v>
      </c>
      <c r="F6" s="7">
        <v>16</v>
      </c>
    </row>
    <row r="7" spans="1:15" x14ac:dyDescent="0.3">
      <c r="A7" s="7" t="s">
        <v>11</v>
      </c>
      <c r="B7" s="7">
        <v>29.46</v>
      </c>
      <c r="C7" s="7">
        <v>9.5066666666666659</v>
      </c>
      <c r="D7" s="7">
        <v>9.390625</v>
      </c>
      <c r="E7" s="7">
        <v>95.15</v>
      </c>
      <c r="F7" s="7">
        <v>17</v>
      </c>
    </row>
    <row r="8" spans="1:15" x14ac:dyDescent="0.3">
      <c r="A8" s="7" t="s">
        <v>12</v>
      </c>
      <c r="B8" s="7">
        <v>84.01</v>
      </c>
      <c r="C8" s="7">
        <v>19.126666666666665</v>
      </c>
      <c r="D8" s="7">
        <v>3.828125</v>
      </c>
      <c r="E8" s="7">
        <v>14.54</v>
      </c>
      <c r="F8" s="7">
        <v>14</v>
      </c>
    </row>
    <row r="9" spans="1:15" x14ac:dyDescent="0.3">
      <c r="A9" s="7" t="s">
        <v>13</v>
      </c>
      <c r="B9" s="7">
        <v>164.8</v>
      </c>
      <c r="C9" s="7">
        <v>29.973333333333333</v>
      </c>
      <c r="D9" s="7">
        <v>3.921875</v>
      </c>
      <c r="E9" s="7">
        <v>17.233333333333334</v>
      </c>
      <c r="F9" s="7">
        <v>2</v>
      </c>
    </row>
    <row r="10" spans="1:15" x14ac:dyDescent="0.3">
      <c r="A10" s="7" t="s">
        <v>14</v>
      </c>
      <c r="B10" s="7">
        <v>247.7</v>
      </c>
      <c r="C10" s="7">
        <v>39.333333333333336</v>
      </c>
      <c r="D10" s="7">
        <v>0.21874999999999997</v>
      </c>
      <c r="E10" s="7">
        <v>1.6666666666666666E-2</v>
      </c>
      <c r="F10" s="7">
        <v>1</v>
      </c>
    </row>
    <row r="12" spans="1:15" ht="57.6" x14ac:dyDescent="0.3">
      <c r="A12" s="12" t="s">
        <v>0</v>
      </c>
      <c r="B12" s="9" t="s">
        <v>1</v>
      </c>
      <c r="C12" s="9" t="s">
        <v>15</v>
      </c>
      <c r="D12" s="12" t="s">
        <v>16</v>
      </c>
      <c r="E12" s="11" t="s">
        <v>17</v>
      </c>
      <c r="F12" s="9" t="s">
        <v>5</v>
      </c>
      <c r="I12" s="13" t="s">
        <v>0</v>
      </c>
      <c r="J12" s="14" t="s">
        <v>1</v>
      </c>
      <c r="K12" s="14" t="s">
        <v>15</v>
      </c>
      <c r="L12" s="13" t="s">
        <v>16</v>
      </c>
      <c r="M12" s="15" t="s">
        <v>17</v>
      </c>
      <c r="N12" s="14" t="s">
        <v>5</v>
      </c>
    </row>
    <row r="13" spans="1:15" x14ac:dyDescent="0.3">
      <c r="A13" s="7" t="s">
        <v>6</v>
      </c>
      <c r="B13" s="7">
        <v>0.24099999999999999</v>
      </c>
      <c r="C13" s="7">
        <v>0.38666666666666666</v>
      </c>
      <c r="D13" s="7">
        <v>0.3828125</v>
      </c>
      <c r="E13" s="7">
        <v>5.3333333333333337E-2</v>
      </c>
      <c r="F13" s="7">
        <v>0</v>
      </c>
      <c r="I13" s="16"/>
      <c r="J13" s="17"/>
      <c r="K13" s="17"/>
      <c r="L13" s="26" t="s">
        <v>24</v>
      </c>
      <c r="M13" s="17"/>
      <c r="N13" s="18"/>
    </row>
    <row r="14" spans="1:15" x14ac:dyDescent="0.3">
      <c r="A14" s="7" t="s">
        <v>7</v>
      </c>
      <c r="B14" s="7">
        <v>0.61499999999999999</v>
      </c>
      <c r="C14" s="7">
        <v>0.72</v>
      </c>
      <c r="D14" s="7">
        <v>0.94531249999999989</v>
      </c>
      <c r="E14" s="7">
        <v>0.81</v>
      </c>
      <c r="F14" s="7">
        <v>0</v>
      </c>
      <c r="I14" s="19"/>
      <c r="J14" s="6"/>
      <c r="K14" s="6"/>
      <c r="L14" s="6"/>
      <c r="M14" s="25" t="s">
        <v>25</v>
      </c>
      <c r="N14" s="20"/>
    </row>
    <row r="15" spans="1:15" x14ac:dyDescent="0.3">
      <c r="A15" s="7" t="s">
        <v>8</v>
      </c>
      <c r="B15" s="7">
        <v>1</v>
      </c>
      <c r="C15" s="7">
        <v>1</v>
      </c>
      <c r="D15" s="7">
        <v>1</v>
      </c>
      <c r="E15" s="7">
        <v>1</v>
      </c>
      <c r="F15" s="7">
        <v>1</v>
      </c>
    </row>
    <row r="16" spans="1:15" ht="57.6" x14ac:dyDescent="0.3">
      <c r="A16" s="7" t="s">
        <v>9</v>
      </c>
      <c r="B16" s="7">
        <v>1.881</v>
      </c>
      <c r="C16" s="7">
        <v>1.92</v>
      </c>
      <c r="D16" s="7">
        <v>0.53125</v>
      </c>
      <c r="E16" s="7">
        <v>0.10166666666666667</v>
      </c>
      <c r="F16" s="7">
        <v>2</v>
      </c>
      <c r="I16" s="12" t="s">
        <v>0</v>
      </c>
      <c r="J16" s="9" t="s">
        <v>1</v>
      </c>
      <c r="K16" s="9" t="s">
        <v>15</v>
      </c>
      <c r="L16" s="12" t="s">
        <v>16</v>
      </c>
      <c r="M16" s="11" t="s">
        <v>17</v>
      </c>
      <c r="N16" s="9" t="s">
        <v>5</v>
      </c>
    </row>
    <row r="17" spans="1:14" x14ac:dyDescent="0.3">
      <c r="A17" s="7" t="s">
        <v>10</v>
      </c>
      <c r="B17" s="7">
        <v>11.86</v>
      </c>
      <c r="C17" s="7">
        <v>5.1866666666666665</v>
      </c>
      <c r="D17" s="7">
        <v>11.140624999999998</v>
      </c>
      <c r="E17" s="7">
        <v>317.83333333333331</v>
      </c>
      <c r="F17" s="7">
        <v>16</v>
      </c>
      <c r="I17" s="7" t="s">
        <v>10</v>
      </c>
      <c r="J17" s="7">
        <v>11.86</v>
      </c>
      <c r="K17" s="7">
        <v>5.1866666666666665</v>
      </c>
      <c r="L17" s="7">
        <v>11.140624999999998</v>
      </c>
      <c r="M17" s="7">
        <v>317.83333333333331</v>
      </c>
      <c r="N17" s="7">
        <v>16</v>
      </c>
    </row>
    <row r="18" spans="1:14" x14ac:dyDescent="0.3">
      <c r="A18" s="7" t="s">
        <v>11</v>
      </c>
      <c r="B18" s="7">
        <v>29.46</v>
      </c>
      <c r="C18" s="7">
        <v>9.5066666666666659</v>
      </c>
      <c r="D18" s="7">
        <v>9.390625</v>
      </c>
      <c r="E18" s="7">
        <v>95.15</v>
      </c>
      <c r="F18" s="7">
        <v>17</v>
      </c>
      <c r="I18" s="7" t="s">
        <v>11</v>
      </c>
      <c r="J18" s="7">
        <v>29.46</v>
      </c>
      <c r="K18" s="7">
        <v>9.5066666666666659</v>
      </c>
      <c r="L18" s="7">
        <v>9.390625</v>
      </c>
      <c r="M18" s="7">
        <v>95.15</v>
      </c>
      <c r="N18" s="7">
        <v>17</v>
      </c>
    </row>
    <row r="19" spans="1:14" x14ac:dyDescent="0.3">
      <c r="A19" s="7" t="s">
        <v>12</v>
      </c>
      <c r="B19" s="7">
        <v>84.01</v>
      </c>
      <c r="C19" s="7">
        <v>19.126666666666665</v>
      </c>
      <c r="D19" s="7">
        <v>3.828125</v>
      </c>
      <c r="E19" s="7">
        <v>14.54</v>
      </c>
      <c r="F19" s="7">
        <v>14</v>
      </c>
    </row>
    <row r="20" spans="1:14" x14ac:dyDescent="0.3">
      <c r="A20" s="7" t="s">
        <v>13</v>
      </c>
      <c r="B20" s="7">
        <v>164.8</v>
      </c>
      <c r="C20" s="7">
        <v>29.973333333333333</v>
      </c>
      <c r="D20" s="7">
        <v>3.921875</v>
      </c>
      <c r="E20" s="7">
        <v>17.233333333333334</v>
      </c>
      <c r="F20" s="7">
        <v>2</v>
      </c>
    </row>
    <row r="21" spans="1:14" x14ac:dyDescent="0.3">
      <c r="A21" s="7" t="s">
        <v>14</v>
      </c>
      <c r="B21" s="7">
        <v>247.7</v>
      </c>
      <c r="C21" s="7">
        <v>39.333333333333336</v>
      </c>
      <c r="D21" s="7">
        <v>0.21874999999999997</v>
      </c>
      <c r="E21" s="7">
        <v>1.6666666666666666E-2</v>
      </c>
      <c r="F21" s="7">
        <v>1</v>
      </c>
    </row>
    <row r="23" spans="1:14" ht="57.6" x14ac:dyDescent="0.3">
      <c r="A23" s="12" t="s">
        <v>0</v>
      </c>
      <c r="B23" s="9" t="s">
        <v>1</v>
      </c>
      <c r="C23" s="9" t="s">
        <v>15</v>
      </c>
      <c r="D23" s="12" t="s">
        <v>16</v>
      </c>
      <c r="E23" s="11" t="s">
        <v>17</v>
      </c>
      <c r="F23" s="9" t="s">
        <v>5</v>
      </c>
      <c r="I23" s="12" t="s">
        <v>0</v>
      </c>
      <c r="J23" s="9" t="s">
        <v>1</v>
      </c>
      <c r="K23" s="9" t="s">
        <v>15</v>
      </c>
      <c r="L23" s="12" t="s">
        <v>16</v>
      </c>
      <c r="M23" s="11" t="s">
        <v>17</v>
      </c>
      <c r="N23" s="9" t="s">
        <v>5</v>
      </c>
    </row>
    <row r="24" spans="1:14" x14ac:dyDescent="0.3">
      <c r="A24" s="7" t="s">
        <v>6</v>
      </c>
      <c r="B24" s="7">
        <v>0.24099999999999999</v>
      </c>
      <c r="C24" s="7">
        <v>0.38666666666666666</v>
      </c>
      <c r="D24" s="7">
        <v>0.3828125</v>
      </c>
      <c r="E24" s="7">
        <v>5.3333333333333337E-2</v>
      </c>
      <c r="F24" s="7">
        <v>0</v>
      </c>
      <c r="I24" s="16"/>
      <c r="J24" s="17"/>
      <c r="K24" s="26" t="s">
        <v>26</v>
      </c>
      <c r="L24" s="17"/>
      <c r="M24" s="17"/>
      <c r="N24" s="27">
        <v>0</v>
      </c>
    </row>
    <row r="25" spans="1:14" x14ac:dyDescent="0.3">
      <c r="A25" s="7" t="s">
        <v>7</v>
      </c>
      <c r="B25" s="7">
        <v>0.61499999999999999</v>
      </c>
      <c r="C25" s="7">
        <v>0.72</v>
      </c>
      <c r="D25" s="7">
        <v>0.94531249999999989</v>
      </c>
      <c r="E25" s="7">
        <v>0.81</v>
      </c>
      <c r="F25" s="7">
        <v>0</v>
      </c>
      <c r="I25" s="19"/>
      <c r="J25" s="6"/>
      <c r="K25" s="25" t="s">
        <v>20</v>
      </c>
      <c r="L25" s="6"/>
      <c r="M25" s="6"/>
      <c r="N25" s="28" t="s">
        <v>19</v>
      </c>
    </row>
    <row r="26" spans="1:14" x14ac:dyDescent="0.3">
      <c r="A26" s="7" t="s">
        <v>8</v>
      </c>
      <c r="B26" s="7">
        <v>1</v>
      </c>
      <c r="C26" s="7">
        <v>1</v>
      </c>
      <c r="D26" s="7">
        <v>1</v>
      </c>
      <c r="E26" s="7">
        <v>1</v>
      </c>
      <c r="F26" s="7">
        <v>1</v>
      </c>
    </row>
    <row r="27" spans="1:14" ht="57.6" x14ac:dyDescent="0.3">
      <c r="A27" s="7" t="s">
        <v>9</v>
      </c>
      <c r="B27" s="7">
        <v>1.881</v>
      </c>
      <c r="C27" s="7">
        <v>1.92</v>
      </c>
      <c r="D27" s="7">
        <v>0.53125</v>
      </c>
      <c r="E27" s="7">
        <v>0.10166666666666667</v>
      </c>
      <c r="F27" s="7">
        <v>2</v>
      </c>
      <c r="I27" s="12" t="s">
        <v>0</v>
      </c>
      <c r="J27" s="9" t="s">
        <v>1</v>
      </c>
      <c r="K27" s="9" t="s">
        <v>15</v>
      </c>
      <c r="L27" s="12" t="s">
        <v>16</v>
      </c>
      <c r="M27" s="11" t="s">
        <v>17</v>
      </c>
      <c r="N27" s="9" t="s">
        <v>5</v>
      </c>
    </row>
    <row r="28" spans="1:14" x14ac:dyDescent="0.3">
      <c r="A28" s="7" t="s">
        <v>10</v>
      </c>
      <c r="B28" s="7">
        <v>11.86</v>
      </c>
      <c r="C28" s="7">
        <v>5.1866666666666665</v>
      </c>
      <c r="D28" s="7">
        <v>11.140624999999998</v>
      </c>
      <c r="E28" s="7">
        <v>317.83333333333331</v>
      </c>
      <c r="F28" s="7">
        <v>16</v>
      </c>
      <c r="I28" s="7" t="s">
        <v>6</v>
      </c>
      <c r="J28" s="7">
        <v>0.24099999999999999</v>
      </c>
      <c r="K28" s="7">
        <v>0.38666666666666666</v>
      </c>
      <c r="L28" s="7">
        <v>0.3828125</v>
      </c>
      <c r="M28" s="7">
        <v>5.3333333333333337E-2</v>
      </c>
      <c r="N28" s="7">
        <v>0</v>
      </c>
    </row>
    <row r="29" spans="1:14" x14ac:dyDescent="0.3">
      <c r="A29" s="7" t="s">
        <v>11</v>
      </c>
      <c r="B29" s="7">
        <v>29.46</v>
      </c>
      <c r="C29" s="7">
        <v>9.5066666666666659</v>
      </c>
      <c r="D29" s="7">
        <v>9.390625</v>
      </c>
      <c r="E29" s="7">
        <v>95.15</v>
      </c>
      <c r="F29" s="7">
        <v>17</v>
      </c>
      <c r="I29" s="7" t="s">
        <v>12</v>
      </c>
      <c r="J29" s="7">
        <v>84.01</v>
      </c>
      <c r="K29" s="7">
        <v>19.126666666666665</v>
      </c>
      <c r="L29" s="7">
        <v>3.828125</v>
      </c>
      <c r="M29" s="7">
        <v>14.54</v>
      </c>
      <c r="N29" s="7">
        <v>14</v>
      </c>
    </row>
    <row r="30" spans="1:14" x14ac:dyDescent="0.3">
      <c r="A30" s="7" t="s">
        <v>12</v>
      </c>
      <c r="B30" s="7">
        <v>84.01</v>
      </c>
      <c r="C30" s="7">
        <v>19.126666666666665</v>
      </c>
      <c r="D30" s="7">
        <v>3.828125</v>
      </c>
      <c r="E30" s="7">
        <v>14.54</v>
      </c>
      <c r="F30" s="7">
        <v>14</v>
      </c>
    </row>
    <row r="31" spans="1:14" x14ac:dyDescent="0.3">
      <c r="A31" s="7" t="s">
        <v>13</v>
      </c>
      <c r="B31" s="7">
        <v>164.8</v>
      </c>
      <c r="C31" s="7">
        <v>29.973333333333333</v>
      </c>
      <c r="D31" s="7">
        <v>3.921875</v>
      </c>
      <c r="E31" s="7">
        <v>17.233333333333334</v>
      </c>
      <c r="F31" s="7">
        <v>2</v>
      </c>
    </row>
    <row r="32" spans="1:14" x14ac:dyDescent="0.3">
      <c r="A32" s="7" t="s">
        <v>14</v>
      </c>
      <c r="B32" s="7">
        <v>247.7</v>
      </c>
      <c r="C32" s="7">
        <v>39.333333333333336</v>
      </c>
      <c r="D32" s="7">
        <v>0.21874999999999997</v>
      </c>
      <c r="E32" s="7">
        <v>1.6666666666666666E-2</v>
      </c>
      <c r="F32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</vt:i4>
      </vt:variant>
    </vt:vector>
  </HeadingPairs>
  <TitlesOfParts>
    <vt:vector size="11" baseType="lpstr">
      <vt:lpstr>Исходная таблица</vt:lpstr>
      <vt:lpstr>Задание 1 1п</vt:lpstr>
      <vt:lpstr>Задание 1 2 п</vt:lpstr>
      <vt:lpstr>Задание 1 3 п</vt:lpstr>
      <vt:lpstr>Задание 2</vt:lpstr>
      <vt:lpstr>Задание 3</vt:lpstr>
      <vt:lpstr>Задание 3 2 п</vt:lpstr>
      <vt:lpstr>Задание 3 3 п</vt:lpstr>
      <vt:lpstr>Задание 4</vt:lpstr>
      <vt:lpstr>'Задание 4'!Извлечь</vt:lpstr>
      <vt:lpstr>'Задание 4'!Критерии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Шухрат Аширов</dc:creator>
  <cp:lastModifiedBy>feef ewfew</cp:lastModifiedBy>
  <dcterms:created xsi:type="dcterms:W3CDTF">2022-12-27T13:18:43Z</dcterms:created>
  <dcterms:modified xsi:type="dcterms:W3CDTF">2025-01-20T05:57:42Z</dcterms:modified>
</cp:coreProperties>
</file>