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 activeTab="2"/>
  </bookViews>
  <sheets>
    <sheet name="Сводная таблица" sheetId="4" r:id="rId1"/>
    <sheet name="Таблица" sheetId="1" r:id="rId2"/>
    <sheet name="Промежуточные степухи" sheetId="3" r:id="rId3"/>
  </sheets>
  <definedNames>
    <definedName name="_xlnm._FilterDatabase" localSheetId="2" hidden="1">'Промежуточные степухи'!$A$1:$G$13</definedName>
  </definedNames>
  <calcPr calcId="145621"/>
  <pivotCaches>
    <pivotCache cacheId="0" r:id="rId4"/>
  </pivotCaches>
</workbook>
</file>

<file path=xl/calcChain.xml><?xml version="1.0" encoding="utf-8"?>
<calcChain xmlns="http://schemas.openxmlformats.org/spreadsheetml/2006/main">
  <c r="G15" i="3" l="1"/>
  <c r="F15" i="3"/>
  <c r="D15" i="3"/>
  <c r="C15" i="3"/>
  <c r="G14" i="3"/>
  <c r="F14" i="3"/>
  <c r="D14" i="3"/>
  <c r="C14" i="3"/>
  <c r="G9" i="3"/>
  <c r="F9" i="3"/>
  <c r="D9" i="3"/>
  <c r="C9" i="3"/>
  <c r="G6" i="3"/>
  <c r="F6" i="3"/>
  <c r="D6" i="3"/>
  <c r="C6" i="3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<sst xmlns="http://schemas.openxmlformats.org/spreadsheetml/2006/main" count="57" uniqueCount="26">
  <si>
    <t>Ф.И.О</t>
  </si>
  <si>
    <t>Отдел</t>
  </si>
  <si>
    <t>Количество иждивенцев</t>
  </si>
  <si>
    <t>Всего начислено,руб.</t>
  </si>
  <si>
    <t>% удержания</t>
  </si>
  <si>
    <t>Всего удержано,руб.</t>
  </si>
  <si>
    <t>Сумма к выдаче,руб.</t>
  </si>
  <si>
    <t>Петухова К.И.</t>
  </si>
  <si>
    <t>Безенчук П.Ф.</t>
  </si>
  <si>
    <t>Воробьянинов И.М.</t>
  </si>
  <si>
    <t>Востриков Ф.О.</t>
  </si>
  <si>
    <t>Коробейников В.А.</t>
  </si>
  <si>
    <t>Грицацуева В.С.</t>
  </si>
  <si>
    <t>Гаврилин З.С.</t>
  </si>
  <si>
    <t>Треухов Т.И.</t>
  </si>
  <si>
    <t>Изнуренков А.В.</t>
  </si>
  <si>
    <t>Щукина Э.Е.</t>
  </si>
  <si>
    <t>Сумма по полю Всего начислено,руб.</t>
  </si>
  <si>
    <t>Сумма по полю Всего удержано,руб.</t>
  </si>
  <si>
    <t>Сумма по полю Сумма к выдаче,руб.</t>
  </si>
  <si>
    <t>Названия строк</t>
  </si>
  <si>
    <t>Общий итог</t>
  </si>
  <si>
    <t>(Все)</t>
  </si>
  <si>
    <t>1 Итог</t>
  </si>
  <si>
    <t>2 Итог</t>
  </si>
  <si>
    <t>3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</si>
</sst>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0" applyNumberFormat="1" applyBorder="1"/>
    <xf numFmtId="0" fontId="0" fillId="0" borderId="0" xfId="0" applyNumberFormat="1"/>
    <xf numFmtId="0" fontId="0" fillId="0" borderId="0" xfId="0" pivotButton="1"/>
    <xf numFmtId="0" fontId="1" fillId="0" borderId="1" xfId="0" applyFont="1" applyBorder="1"/>
    <xf numFmtId="0" fontId="1" fillId="0" borderId="0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Шухрат Аширов" refreshedDate="44922.823843865743" createdVersion="4" refreshedVersion="4" minRefreshableVersion="3" recordCount="10">
  <cacheSource type="worksheet">
    <worksheetSource ref="A1:G11" sheet="Таблица"/>
  </cacheSource>
  <cacheFields count="7">
    <cacheField name="Ф.И.О" numFmtId="0">
      <sharedItems count="10">
        <s v="Петухова К.И."/>
        <s v="Безенчук П.Ф."/>
        <s v="Воробьянинов И.М."/>
        <s v="Востриков Ф.О."/>
        <s v="Коробейников В.А."/>
        <s v="Грицацуева В.С."/>
        <s v="Гаврилин З.С."/>
        <s v="Треухов Т.И."/>
        <s v="Изнуренков А.В."/>
        <s v="Щукина Э.Е."/>
      </sharedItems>
    </cacheField>
    <cacheField name="Отдел" numFmtId="0">
      <sharedItems containsSemiMixedTypes="0" containsString="0" containsNumber="1" containsInteger="1" minValue="1" maxValue="3" count="3">
        <n v="1"/>
        <n v="3"/>
        <n v="2"/>
      </sharedItems>
    </cacheField>
    <cacheField name="Количество иждивенцев" numFmtId="0">
      <sharedItems containsSemiMixedTypes="0" containsString="0" containsNumber="1" containsInteger="1" minValue="0" maxValue="4" count="5">
        <n v="1"/>
        <n v="2"/>
        <n v="3"/>
        <n v="4"/>
        <n v="0"/>
      </sharedItems>
    </cacheField>
    <cacheField name="Всего начислено,руб." numFmtId="0">
      <sharedItems containsSemiMixedTypes="0" containsString="0" containsNumber="1" containsInteger="1" minValue="250" maxValue="1260"/>
    </cacheField>
    <cacheField name="% удержания" numFmtId="9">
      <sharedItems containsSemiMixedTypes="0" containsString="0" containsNumber="1" minValue="0" maxValue="0.14000000000000001"/>
    </cacheField>
    <cacheField name="Всего удержано,руб." numFmtId="0">
      <sharedItems containsSemiMixedTypes="0" containsString="0" containsNumber="1" minValue="0" maxValue="151.19999999999999"/>
    </cacheField>
    <cacheField name="Сумма к выдаче,руб." numFmtId="0">
      <sharedItems containsSemiMixedTypes="0" containsString="0" containsNumber="1" minValue="220" maxValue="110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n v="1260"/>
    <n v="0.12"/>
    <n v="151.19999999999999"/>
    <n v="1108.8"/>
  </r>
  <r>
    <x v="1"/>
    <x v="1"/>
    <x v="1"/>
    <n v="1100"/>
    <n v="0.1"/>
    <n v="110"/>
    <n v="990"/>
  </r>
  <r>
    <x v="2"/>
    <x v="2"/>
    <x v="2"/>
    <n v="800"/>
    <n v="0.05"/>
    <n v="40"/>
    <n v="760"/>
  </r>
  <r>
    <x v="3"/>
    <x v="2"/>
    <x v="1"/>
    <n v="750"/>
    <n v="0.1"/>
    <n v="75"/>
    <n v="675"/>
  </r>
  <r>
    <x v="4"/>
    <x v="1"/>
    <x v="0"/>
    <n v="715"/>
    <n v="0.12"/>
    <n v="85.8"/>
    <n v="629.20000000000005"/>
  </r>
  <r>
    <x v="5"/>
    <x v="0"/>
    <x v="2"/>
    <n v="630"/>
    <n v="0.05"/>
    <n v="31.5"/>
    <n v="598.5"/>
  </r>
  <r>
    <x v="6"/>
    <x v="0"/>
    <x v="3"/>
    <n v="620"/>
    <n v="0"/>
    <n v="0"/>
    <n v="620"/>
  </r>
  <r>
    <x v="7"/>
    <x v="1"/>
    <x v="0"/>
    <n v="560"/>
    <n v="0.12"/>
    <n v="67.2"/>
    <n v="492.8"/>
  </r>
  <r>
    <x v="8"/>
    <x v="0"/>
    <x v="4"/>
    <n v="420"/>
    <n v="0.14000000000000001"/>
    <n v="58.800000000000004"/>
    <n v="361.2"/>
  </r>
  <r>
    <x v="9"/>
    <x v="1"/>
    <x v="0"/>
    <n v="250"/>
    <n v="0.12"/>
    <n v="30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4:D15" firstHeaderRow="0" firstDataRow="1" firstDataCol="1" rowPageCount="2" colPageCount="1"/>
  <pivotFields count="7">
    <pivotField axis="axisRow" showAll="0" sortType="ascending">
      <items count="11">
        <item x="1"/>
        <item x="2"/>
        <item x="3"/>
        <item x="6"/>
        <item x="5"/>
        <item x="8"/>
        <item x="4"/>
        <item x="0"/>
        <item x="7"/>
        <item x="9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Page" showAll="0">
      <items count="6">
        <item x="4"/>
        <item x="0"/>
        <item x="1"/>
        <item x="2"/>
        <item x="3"/>
        <item t="default"/>
      </items>
    </pivotField>
    <pivotField dataField="1" showAll="0"/>
    <pivotField numFmtId="9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2" hier="-1"/>
  </pageFields>
  <dataFields count="3">
    <dataField name="Сумма по полю Всего начислено,руб." fld="3" baseField="0" baseItem="0"/>
    <dataField name="Сумма по полю Всего удержано,руб." fld="5" baseField="0" baseItem="0"/>
    <dataField name="Сумма по полю Сумма к выдаче,руб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1" width="23.85546875" customWidth="1"/>
    <col min="2" max="2" width="36.28515625" bestFit="1" customWidth="1"/>
    <col min="3" max="3" width="36" customWidth="1"/>
    <col min="4" max="4" width="36.28515625" bestFit="1" customWidth="1"/>
    <col min="5" max="5" width="39.5703125" customWidth="1"/>
    <col min="6" max="6" width="39.5703125" bestFit="1" customWidth="1"/>
  </cols>
  <sheetData>
    <row r="1" spans="1:4" x14ac:dyDescent="0.25">
      <c r="A1" s="9" t="s">
        <v>1</v>
      </c>
      <c r="B1" t="s">
        <v>22</v>
      </c>
    </row>
    <row r="2" spans="1:4" x14ac:dyDescent="0.25">
      <c r="A2" s="9" t="s">
        <v>2</v>
      </c>
      <c r="B2" t="s">
        <v>22</v>
      </c>
    </row>
    <row r="4" spans="1:4" x14ac:dyDescent="0.25">
      <c r="A4" s="9" t="s">
        <v>20</v>
      </c>
      <c r="B4" t="s">
        <v>17</v>
      </c>
      <c r="C4" t="s">
        <v>18</v>
      </c>
      <c r="D4" t="s">
        <v>19</v>
      </c>
    </row>
    <row r="5" spans="1:4" x14ac:dyDescent="0.25">
      <c r="A5" s="2" t="s">
        <v>8</v>
      </c>
      <c r="B5" s="8">
        <v>1100</v>
      </c>
      <c r="C5" s="8">
        <v>110</v>
      </c>
      <c r="D5" s="8">
        <v>990</v>
      </c>
    </row>
    <row r="6" spans="1:4" x14ac:dyDescent="0.25">
      <c r="A6" s="2" t="s">
        <v>9</v>
      </c>
      <c r="B6" s="8">
        <v>800</v>
      </c>
      <c r="C6" s="8">
        <v>40</v>
      </c>
      <c r="D6" s="8">
        <v>760</v>
      </c>
    </row>
    <row r="7" spans="1:4" x14ac:dyDescent="0.25">
      <c r="A7" s="2" t="s">
        <v>10</v>
      </c>
      <c r="B7" s="8">
        <v>750</v>
      </c>
      <c r="C7" s="8">
        <v>75</v>
      </c>
      <c r="D7" s="8">
        <v>675</v>
      </c>
    </row>
    <row r="8" spans="1:4" x14ac:dyDescent="0.25">
      <c r="A8" s="2" t="s">
        <v>13</v>
      </c>
      <c r="B8" s="8">
        <v>620</v>
      </c>
      <c r="C8" s="8">
        <v>0</v>
      </c>
      <c r="D8" s="8">
        <v>620</v>
      </c>
    </row>
    <row r="9" spans="1:4" x14ac:dyDescent="0.25">
      <c r="A9" s="2" t="s">
        <v>12</v>
      </c>
      <c r="B9" s="8">
        <v>630</v>
      </c>
      <c r="C9" s="8">
        <v>31.5</v>
      </c>
      <c r="D9" s="8">
        <v>598.5</v>
      </c>
    </row>
    <row r="10" spans="1:4" x14ac:dyDescent="0.25">
      <c r="A10" s="2" t="s">
        <v>15</v>
      </c>
      <c r="B10" s="8">
        <v>420</v>
      </c>
      <c r="C10" s="8">
        <v>58.800000000000004</v>
      </c>
      <c r="D10" s="8">
        <v>361.2</v>
      </c>
    </row>
    <row r="11" spans="1:4" x14ac:dyDescent="0.25">
      <c r="A11" s="2" t="s">
        <v>11</v>
      </c>
      <c r="B11" s="8">
        <v>715</v>
      </c>
      <c r="C11" s="8">
        <v>85.8</v>
      </c>
      <c r="D11" s="8">
        <v>629.20000000000005</v>
      </c>
    </row>
    <row r="12" spans="1:4" x14ac:dyDescent="0.25">
      <c r="A12" s="2" t="s">
        <v>7</v>
      </c>
      <c r="B12" s="8">
        <v>1260</v>
      </c>
      <c r="C12" s="8">
        <v>151.19999999999999</v>
      </c>
      <c r="D12" s="8">
        <v>1108.8</v>
      </c>
    </row>
    <row r="13" spans="1:4" x14ac:dyDescent="0.25">
      <c r="A13" s="2" t="s">
        <v>14</v>
      </c>
      <c r="B13" s="8">
        <v>560</v>
      </c>
      <c r="C13" s="8">
        <v>67.2</v>
      </c>
      <c r="D13" s="8">
        <v>492.8</v>
      </c>
    </row>
    <row r="14" spans="1:4" x14ac:dyDescent="0.25">
      <c r="A14" s="2" t="s">
        <v>16</v>
      </c>
      <c r="B14" s="8">
        <v>250</v>
      </c>
      <c r="C14" s="8">
        <v>30</v>
      </c>
      <c r="D14" s="8">
        <v>220</v>
      </c>
    </row>
    <row r="15" spans="1:4" x14ac:dyDescent="0.25">
      <c r="A15" s="2" t="s">
        <v>21</v>
      </c>
      <c r="B15" s="8">
        <v>7105</v>
      </c>
      <c r="C15" s="8">
        <v>649.5</v>
      </c>
      <c r="D15" s="8">
        <v>6455.5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20.28515625" customWidth="1"/>
    <col min="2" max="2" width="11.140625" customWidth="1"/>
    <col min="3" max="3" width="14" customWidth="1"/>
    <col min="4" max="4" width="13.85546875" customWidth="1"/>
    <col min="5" max="5" width="13.140625" customWidth="1"/>
    <col min="6" max="6" width="12.5703125" customWidth="1"/>
    <col min="7" max="7" width="14.42578125" customWidth="1"/>
  </cols>
  <sheetData>
    <row r="1" spans="1:7" ht="52.5" customHeight="1" x14ac:dyDescent="0.25">
      <c r="A1" s="13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25">
      <c r="A2" s="4" t="s">
        <v>7</v>
      </c>
      <c r="B2" s="5">
        <v>1</v>
      </c>
      <c r="C2" s="6">
        <v>1</v>
      </c>
      <c r="D2" s="6">
        <v>1260</v>
      </c>
      <c r="E2" s="7">
        <f>IF(C2&gt;3,0%,IF(C2=3,5%,IF(C2=2,10%,IF(C2=1,12%,14%))))</f>
        <v>0.12</v>
      </c>
      <c r="F2" s="4">
        <f>D2*E2</f>
        <v>151.19999999999999</v>
      </c>
      <c r="G2" s="4">
        <f>D2-F2</f>
        <v>1108.8</v>
      </c>
    </row>
    <row r="3" spans="1:7" x14ac:dyDescent="0.25">
      <c r="A3" s="4" t="s">
        <v>8</v>
      </c>
      <c r="B3" s="5">
        <v>3</v>
      </c>
      <c r="C3" s="6">
        <v>2</v>
      </c>
      <c r="D3" s="6">
        <v>1100</v>
      </c>
      <c r="E3" s="7">
        <f t="shared" ref="E3:E11" si="0">IF(C3&gt;3,0%,IF(C3=3,5%,IF(C3=2,10%,IF(C3=1,12%,14%))))</f>
        <v>0.1</v>
      </c>
      <c r="F3" s="4">
        <f t="shared" ref="F3:F11" si="1">D3*E3</f>
        <v>110</v>
      </c>
      <c r="G3" s="4">
        <f t="shared" ref="G3:G11" si="2">D3-F3</f>
        <v>990</v>
      </c>
    </row>
    <row r="4" spans="1:7" x14ac:dyDescent="0.25">
      <c r="A4" s="4" t="s">
        <v>9</v>
      </c>
      <c r="B4" s="5">
        <v>2</v>
      </c>
      <c r="C4" s="6">
        <v>3</v>
      </c>
      <c r="D4" s="6">
        <v>800</v>
      </c>
      <c r="E4" s="7">
        <f t="shared" si="0"/>
        <v>0.05</v>
      </c>
      <c r="F4" s="4">
        <f t="shared" si="1"/>
        <v>40</v>
      </c>
      <c r="G4" s="4">
        <f t="shared" si="2"/>
        <v>760</v>
      </c>
    </row>
    <row r="5" spans="1:7" x14ac:dyDescent="0.25">
      <c r="A5" s="4" t="s">
        <v>10</v>
      </c>
      <c r="B5" s="5">
        <v>2</v>
      </c>
      <c r="C5" s="6">
        <v>2</v>
      </c>
      <c r="D5" s="6">
        <v>750</v>
      </c>
      <c r="E5" s="7">
        <f t="shared" si="0"/>
        <v>0.1</v>
      </c>
      <c r="F5" s="4">
        <f t="shared" si="1"/>
        <v>75</v>
      </c>
      <c r="G5" s="4">
        <f t="shared" si="2"/>
        <v>675</v>
      </c>
    </row>
    <row r="6" spans="1:7" x14ac:dyDescent="0.25">
      <c r="A6" s="4" t="s">
        <v>11</v>
      </c>
      <c r="B6" s="5">
        <v>3</v>
      </c>
      <c r="C6" s="6">
        <v>1</v>
      </c>
      <c r="D6" s="6">
        <v>715</v>
      </c>
      <c r="E6" s="7">
        <f t="shared" si="0"/>
        <v>0.12</v>
      </c>
      <c r="F6" s="4">
        <f t="shared" si="1"/>
        <v>85.8</v>
      </c>
      <c r="G6" s="4">
        <f t="shared" si="2"/>
        <v>629.20000000000005</v>
      </c>
    </row>
    <row r="7" spans="1:7" x14ac:dyDescent="0.25">
      <c r="A7" s="4" t="s">
        <v>12</v>
      </c>
      <c r="B7" s="5">
        <v>1</v>
      </c>
      <c r="C7" s="6">
        <v>3</v>
      </c>
      <c r="D7" s="6">
        <v>630</v>
      </c>
      <c r="E7" s="7">
        <f t="shared" si="0"/>
        <v>0.05</v>
      </c>
      <c r="F7" s="4">
        <f t="shared" si="1"/>
        <v>31.5</v>
      </c>
      <c r="G7" s="4">
        <f t="shared" si="2"/>
        <v>598.5</v>
      </c>
    </row>
    <row r="8" spans="1:7" x14ac:dyDescent="0.25">
      <c r="A8" s="4" t="s">
        <v>13</v>
      </c>
      <c r="B8" s="5">
        <v>1</v>
      </c>
      <c r="C8" s="6">
        <v>4</v>
      </c>
      <c r="D8" s="6">
        <v>620</v>
      </c>
      <c r="E8" s="7">
        <f t="shared" si="0"/>
        <v>0</v>
      </c>
      <c r="F8" s="4">
        <f t="shared" si="1"/>
        <v>0</v>
      </c>
      <c r="G8" s="4">
        <f t="shared" si="2"/>
        <v>620</v>
      </c>
    </row>
    <row r="9" spans="1:7" x14ac:dyDescent="0.25">
      <c r="A9" s="4" t="s">
        <v>14</v>
      </c>
      <c r="B9" s="5">
        <v>3</v>
      </c>
      <c r="C9" s="6">
        <v>1</v>
      </c>
      <c r="D9" s="6">
        <v>560</v>
      </c>
      <c r="E9" s="7">
        <f t="shared" si="0"/>
        <v>0.12</v>
      </c>
      <c r="F9" s="4">
        <f t="shared" si="1"/>
        <v>67.2</v>
      </c>
      <c r="G9" s="4">
        <f t="shared" si="2"/>
        <v>492.8</v>
      </c>
    </row>
    <row r="10" spans="1:7" x14ac:dyDescent="0.25">
      <c r="A10" s="4" t="s">
        <v>15</v>
      </c>
      <c r="B10" s="5">
        <v>1</v>
      </c>
      <c r="C10" s="6">
        <v>0</v>
      </c>
      <c r="D10" s="6">
        <v>420</v>
      </c>
      <c r="E10" s="7">
        <f t="shared" si="0"/>
        <v>0.14000000000000001</v>
      </c>
      <c r="F10" s="4">
        <f t="shared" si="1"/>
        <v>58.800000000000004</v>
      </c>
      <c r="G10" s="4">
        <f t="shared" si="2"/>
        <v>361.2</v>
      </c>
    </row>
    <row r="11" spans="1:7" x14ac:dyDescent="0.25">
      <c r="A11" s="4" t="s">
        <v>16</v>
      </c>
      <c r="B11" s="5">
        <v>3</v>
      </c>
      <c r="C11" s="6">
        <v>1</v>
      </c>
      <c r="D11" s="6">
        <v>250</v>
      </c>
      <c r="E11" s="7">
        <f t="shared" si="0"/>
        <v>0.12</v>
      </c>
      <c r="F11" s="4">
        <f t="shared" si="1"/>
        <v>30</v>
      </c>
      <c r="G11" s="4">
        <f t="shared" si="2"/>
        <v>220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/>
  </sheetViews>
  <sheetFormatPr defaultRowHeight="15" outlineLevelRow="2" x14ac:dyDescent="0.25"/>
  <cols>
    <col min="1" max="1" width="18.85546875" customWidth="1"/>
    <col min="2" max="2" width="13.5703125" customWidth="1"/>
    <col min="3" max="3" width="13.85546875" customWidth="1"/>
    <col min="4" max="4" width="13.28515625" customWidth="1"/>
    <col min="5" max="5" width="21.140625" customWidth="1"/>
    <col min="6" max="6" width="13.140625" customWidth="1"/>
    <col min="7" max="7" width="12.7109375" customWidth="1"/>
  </cols>
  <sheetData>
    <row r="1" spans="1:8" ht="46.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"/>
    </row>
    <row r="2" spans="1:8" outlineLevel="2" x14ac:dyDescent="0.25">
      <c r="A2" s="4" t="s">
        <v>7</v>
      </c>
      <c r="B2" s="4">
        <v>1</v>
      </c>
      <c r="C2" s="4">
        <v>1</v>
      </c>
      <c r="D2" s="4">
        <v>1260</v>
      </c>
      <c r="E2" s="7">
        <v>0.12</v>
      </c>
      <c r="F2" s="4">
        <v>151.19999999999999</v>
      </c>
      <c r="G2" s="4">
        <v>1108.8</v>
      </c>
    </row>
    <row r="3" spans="1:8" outlineLevel="2" x14ac:dyDescent="0.25">
      <c r="A3" s="4" t="s">
        <v>12</v>
      </c>
      <c r="B3" s="4">
        <v>1</v>
      </c>
      <c r="C3" s="4">
        <v>3</v>
      </c>
      <c r="D3" s="4">
        <v>630</v>
      </c>
      <c r="E3" s="7">
        <v>0.05</v>
      </c>
      <c r="F3" s="4">
        <v>31.5</v>
      </c>
      <c r="G3" s="4">
        <v>598.5</v>
      </c>
    </row>
    <row r="4" spans="1:8" outlineLevel="2" x14ac:dyDescent="0.25">
      <c r="A4" s="4" t="s">
        <v>13</v>
      </c>
      <c r="B4" s="4">
        <v>1</v>
      </c>
      <c r="C4" s="4">
        <v>4</v>
      </c>
      <c r="D4" s="4">
        <v>620</v>
      </c>
      <c r="E4" s="7">
        <v>0</v>
      </c>
      <c r="F4" s="4">
        <v>0</v>
      </c>
      <c r="G4" s="4">
        <v>620</v>
      </c>
    </row>
    <row r="5" spans="1:8" outlineLevel="2" x14ac:dyDescent="0.25">
      <c r="A5" s="4" t="s">
        <v>15</v>
      </c>
      <c r="B5" s="4">
        <v>1</v>
      </c>
      <c r="C5" s="4">
        <v>0</v>
      </c>
      <c r="D5" s="4">
        <v>420</v>
      </c>
      <c r="E5" s="7">
        <v>0.14000000000000001</v>
      </c>
      <c r="F5" s="4">
        <v>58.800000000000004</v>
      </c>
      <c r="G5" s="4">
        <v>361.2</v>
      </c>
    </row>
    <row r="6" spans="1:8" outlineLevel="1" x14ac:dyDescent="0.25">
      <c r="A6" s="4"/>
      <c r="B6" s="10" t="s">
        <v>23</v>
      </c>
      <c r="C6" s="4">
        <f>SUBTOTAL(9,C2:C5)</f>
        <v>8</v>
      </c>
      <c r="D6" s="4">
        <f>SUBTOTAL(9,D2:D5)</f>
        <v>2930</v>
      </c>
      <c r="E6" s="7"/>
      <c r="F6" s="4">
        <f>SUBTOTAL(9,F2:F5)</f>
        <v>241.5</v>
      </c>
      <c r="G6" s="4">
        <f>SUBTOTAL(9,G2:G5)</f>
        <v>2688.5</v>
      </c>
    </row>
    <row r="7" spans="1:8" outlineLevel="2" x14ac:dyDescent="0.25">
      <c r="A7" s="4" t="s">
        <v>9</v>
      </c>
      <c r="B7" s="4">
        <v>2</v>
      </c>
      <c r="C7" s="4">
        <v>3</v>
      </c>
      <c r="D7" s="4">
        <v>800</v>
      </c>
      <c r="E7" s="7">
        <v>0.05</v>
      </c>
      <c r="F7" s="4">
        <v>40</v>
      </c>
      <c r="G7" s="4">
        <v>760</v>
      </c>
    </row>
    <row r="8" spans="1:8" outlineLevel="2" x14ac:dyDescent="0.25">
      <c r="A8" s="4" t="s">
        <v>10</v>
      </c>
      <c r="B8" s="4">
        <v>2</v>
      </c>
      <c r="C8" s="4">
        <v>2</v>
      </c>
      <c r="D8" s="4">
        <v>750</v>
      </c>
      <c r="E8" s="7">
        <v>0.1</v>
      </c>
      <c r="F8" s="4">
        <v>75</v>
      </c>
      <c r="G8" s="4">
        <v>675</v>
      </c>
    </row>
    <row r="9" spans="1:8" outlineLevel="1" x14ac:dyDescent="0.25">
      <c r="A9" s="4"/>
      <c r="B9" s="10" t="s">
        <v>24</v>
      </c>
      <c r="C9" s="4">
        <f>SUBTOTAL(9,C7:C8)</f>
        <v>5</v>
      </c>
      <c r="D9" s="4">
        <f>SUBTOTAL(9,D7:D8)</f>
        <v>1550</v>
      </c>
      <c r="E9" s="7"/>
      <c r="F9" s="4">
        <f>SUBTOTAL(9,F7:F8)</f>
        <v>115</v>
      </c>
      <c r="G9" s="4">
        <f>SUBTOTAL(9,G7:G8)</f>
        <v>1435</v>
      </c>
    </row>
    <row r="10" spans="1:8" outlineLevel="2" x14ac:dyDescent="0.25">
      <c r="A10" s="4" t="s">
        <v>8</v>
      </c>
      <c r="B10" s="4">
        <v>3</v>
      </c>
      <c r="C10" s="4">
        <v>2</v>
      </c>
      <c r="D10" s="4">
        <v>1100</v>
      </c>
      <c r="E10" s="7">
        <v>0.1</v>
      </c>
      <c r="F10" s="4">
        <v>110</v>
      </c>
      <c r="G10" s="4">
        <v>990</v>
      </c>
    </row>
    <row r="11" spans="1:8" outlineLevel="2" x14ac:dyDescent="0.25">
      <c r="A11" s="4" t="s">
        <v>11</v>
      </c>
      <c r="B11" s="4">
        <v>3</v>
      </c>
      <c r="C11" s="4">
        <v>1</v>
      </c>
      <c r="D11" s="4">
        <v>715</v>
      </c>
      <c r="E11" s="7">
        <v>0.12</v>
      </c>
      <c r="F11" s="4">
        <v>85.8</v>
      </c>
      <c r="G11" s="4">
        <v>629.20000000000005</v>
      </c>
    </row>
    <row r="12" spans="1:8" outlineLevel="2" x14ac:dyDescent="0.25">
      <c r="A12" s="4" t="s">
        <v>14</v>
      </c>
      <c r="B12" s="4">
        <v>3</v>
      </c>
      <c r="C12" s="4">
        <v>1</v>
      </c>
      <c r="D12" s="4">
        <v>560</v>
      </c>
      <c r="E12" s="7">
        <v>0.12</v>
      </c>
      <c r="F12" s="4">
        <v>67.2</v>
      </c>
      <c r="G12" s="4">
        <v>492.8</v>
      </c>
    </row>
    <row r="13" spans="1:8" outlineLevel="2" x14ac:dyDescent="0.25">
      <c r="A13" s="4" t="s">
        <v>16</v>
      </c>
      <c r="B13" s="4">
        <v>3</v>
      </c>
      <c r="C13" s="4">
        <v>1</v>
      </c>
      <c r="D13" s="4">
        <v>250</v>
      </c>
      <c r="E13" s="7">
        <v>0.12</v>
      </c>
      <c r="F13" s="4">
        <v>30</v>
      </c>
      <c r="G13" s="4">
        <v>220</v>
      </c>
    </row>
    <row r="14" spans="1:8" outlineLevel="1" x14ac:dyDescent="0.25">
      <c r="A14" s="3"/>
      <c r="B14" s="11" t="s">
        <v>25</v>
      </c>
      <c r="C14" s="3">
        <f>SUBTOTAL(9,C10:C13)</f>
        <v>5</v>
      </c>
      <c r="D14" s="3">
        <f>SUBTOTAL(9,D10:D13)</f>
        <v>2625</v>
      </c>
      <c r="E14" s="3"/>
      <c r="F14" s="3">
        <f>SUBTOTAL(9,F10:F13)</f>
        <v>293</v>
      </c>
      <c r="G14" s="3">
        <f>SUBTOTAL(9,G10:G13)</f>
        <v>2332</v>
      </c>
    </row>
    <row r="15" spans="1:8" x14ac:dyDescent="0.25">
      <c r="A15" s="3"/>
      <c r="B15" s="11" t="s">
        <v>21</v>
      </c>
      <c r="C15" s="3">
        <f>SUBTOTAL(9,C2:C13)</f>
        <v>18</v>
      </c>
      <c r="D15" s="3">
        <f>SUBTOTAL(9,D2:D13)</f>
        <v>7105</v>
      </c>
      <c r="E15" s="3"/>
      <c r="F15" s="3">
        <f>SUBTOTAL(9,F2:F13)</f>
        <v>649.5</v>
      </c>
      <c r="G15" s="3">
        <f>SUBTOTAL(9,G2:G13)</f>
        <v>6455.5</v>
      </c>
    </row>
  </sheetData>
  <autoFilter ref="A1:G13">
    <sortState ref="A2:G11">
      <sortCondition ref="B1:B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Сводная таблица</vt:lpstr>
      <vt:lpstr>Таблица</vt:lpstr>
      <vt:lpstr>Промежуточные степухи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Шухрат Аширов</dc:creator>
  <cp:lastModifiedBy>Шухрат Аширов</cp:lastModifiedBy>
  <dcterms:created xsi:type="dcterms:W3CDTF">2022-12-27T12:30:56Z</dcterms:created>
  <dcterms:modified xsi:type="dcterms:W3CDTF">2022-12-27T17:52:41Z</dcterms:modified>
</cp:coreProperties>
</file>