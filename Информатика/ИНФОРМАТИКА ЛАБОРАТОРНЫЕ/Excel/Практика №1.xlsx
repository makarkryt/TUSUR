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Вариант 25" sheetId="1" r:id="rId1"/>
  </sheets>
  <calcPr calcId="145621"/>
</workbook>
</file>

<file path=xl/calcChain.xml><?xml version="1.0" encoding="utf-8"?>
<calcChain xmlns="http://schemas.openxmlformats.org/spreadsheetml/2006/main">
  <c r="E11" i="1" l="1"/>
  <c r="E9" i="1"/>
  <c r="E7" i="1"/>
  <c r="E4" i="1"/>
  <c r="E6" i="1"/>
  <c r="E3" i="1" l="1"/>
  <c r="B11" i="1"/>
  <c r="E15" i="1" l="1"/>
  <c r="E16" i="1" s="1"/>
  <c r="D11" i="1"/>
  <c r="C11" i="1"/>
  <c r="D7" i="1"/>
  <c r="D13" i="1" s="1"/>
  <c r="C7" i="1"/>
  <c r="C13" i="1" s="1"/>
  <c r="B7" i="1"/>
  <c r="D6" i="1"/>
  <c r="C6" i="1"/>
  <c r="B6" i="1"/>
  <c r="B13" i="1" l="1"/>
</calcChain>
</file>

<file path=xl/comments1.xml><?xml version="1.0" encoding="utf-8"?>
<comments xmlns="http://schemas.openxmlformats.org/spreadsheetml/2006/main">
  <authors>
    <author>Шухрат Аширов</author>
  </authors>
  <commentList>
    <comment ref="B11" authorId="0">
      <text>
        <r>
          <rPr>
            <b/>
            <sz val="9"/>
            <color indexed="81"/>
            <rFont val="Tahoma"/>
            <family val="2"/>
            <charset val="204"/>
          </rPr>
          <t>Шухрат Аширов:</t>
        </r>
        <r>
          <rPr>
            <sz val="9"/>
            <color indexed="81"/>
            <rFont val="Tahoma"/>
            <family val="2"/>
            <charset val="204"/>
          </rPr>
          <t xml:space="preserve">
тусур
</t>
        </r>
      </text>
    </comment>
    <comment ref="C11" authorId="0">
      <text>
        <r>
          <rPr>
            <b/>
            <sz val="9"/>
            <color indexed="81"/>
            <rFont val="Tahoma"/>
            <family val="2"/>
            <charset val="204"/>
          </rPr>
          <t>Шухрат Аширов:</t>
        </r>
        <r>
          <rPr>
            <sz val="9"/>
            <color indexed="81"/>
            <rFont val="Tahoma"/>
            <family val="2"/>
            <charset val="204"/>
          </rPr>
          <t xml:space="preserve">
тусурикё</t>
        </r>
      </text>
    </comment>
    <comment ref="D11" authorId="0">
      <text>
        <r>
          <rPr>
            <b/>
            <sz val="9"/>
            <color indexed="81"/>
            <rFont val="Tahoma"/>
            <family val="2"/>
            <charset val="204"/>
          </rPr>
          <t>Шухрат Аширов:</t>
        </r>
        <r>
          <rPr>
            <sz val="9"/>
            <color indexed="81"/>
            <rFont val="Tahoma"/>
            <family val="2"/>
            <charset val="204"/>
          </rPr>
          <t xml:space="preserve">
бест
</t>
        </r>
      </text>
    </comment>
    <comment ref="C13" authorId="0">
      <text>
        <r>
          <rPr>
            <b/>
            <sz val="9"/>
            <color indexed="81"/>
            <rFont val="Tahoma"/>
            <family val="2"/>
            <charset val="204"/>
          </rPr>
          <t>Шухрат Аширов:</t>
        </r>
        <r>
          <rPr>
            <sz val="9"/>
            <color indexed="81"/>
            <rFont val="Tahoma"/>
            <family val="2"/>
            <charset val="204"/>
          </rPr>
          <t xml:space="preserve">
ос
</t>
        </r>
      </text>
    </comment>
    <comment ref="D13" authorId="0">
      <text>
        <r>
          <rPr>
            <b/>
            <sz val="9"/>
            <color indexed="81"/>
            <rFont val="Tahoma"/>
            <family val="2"/>
            <charset val="204"/>
          </rPr>
          <t>Шухрат Аширов: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<sst xmlns="http://schemas.openxmlformats.org/spreadsheetml/2006/main" count="19" uniqueCount="19">
  <si>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Показатель</t>
  </si>
  <si>
    <t>Продукция</t>
  </si>
  <si>
    <t>Итого</t>
  </si>
  <si>
    <t>A</t>
  </si>
  <si>
    <t>B</t>
  </si>
  <si>
    <t>C</t>
  </si>
  <si>
    <t>1. Цена изделия, тыс. руб.</t>
  </si>
  <si>
    <t>4. Удельный вес каждого изделия в общем обьеме реализации, %</t>
  </si>
  <si>
    <t>2. Количество изделий, реализуемых в рассматриваемом периоде,шт.</t>
  </si>
  <si>
    <t>3. Выручка от реализации, тыс.руб</t>
  </si>
  <si>
    <t>5. Переменные расходы в расчете на одно изделие, тыс.руб.</t>
  </si>
  <si>
    <t>6. Переменные расходы по каждому виду продукции, тыс.руб.</t>
  </si>
  <si>
    <t>7. Постоянные расходы в рассматриваевом периоде, тыс.руб.</t>
  </si>
  <si>
    <t>9. Прибыль, тыс.руб.</t>
  </si>
  <si>
    <t>8. Итого расходов, тыс.руб.</t>
  </si>
  <si>
    <t>Заголовки</t>
  </si>
  <si>
    <t>Вычисления</t>
  </si>
  <si>
    <t>Исходные данные</t>
  </si>
  <si>
    <t>Примечание: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</si>
</sst>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4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2" xfId="1" applyFont="1" applyBorder="1" applyAlignment="1">
      <alignment wrapText="1"/>
    </xf>
    <xf numFmtId="1" fontId="3" fillId="4" borderId="2" xfId="3" applyNumberFormat="1" applyFont="1" applyBorder="1" applyAlignment="1">
      <alignment horizontal="center" wrapText="1"/>
    </xf>
    <xf numFmtId="1" fontId="3" fillId="4" borderId="5" xfId="3" applyNumberFormat="1" applyFont="1" applyBorder="1" applyAlignment="1">
      <alignment horizontal="center" wrapText="1"/>
    </xf>
    <xf numFmtId="1" fontId="3" fillId="3" borderId="2" xfId="2" applyNumberFormat="1" applyFont="1" applyBorder="1" applyAlignment="1">
      <alignment horizontal="center" wrapText="1"/>
    </xf>
    <xf numFmtId="0" fontId="3" fillId="2" borderId="3" xfId="1" applyFont="1" applyBorder="1" applyAlignment="1">
      <alignment wrapText="1"/>
    </xf>
    <xf numFmtId="0" fontId="3" fillId="0" borderId="0" xfId="0" applyFont="1"/>
    <xf numFmtId="0" fontId="3" fillId="3" borderId="3" xfId="2" applyFont="1" applyBorder="1" applyAlignment="1">
      <alignment horizontal="center" wrapText="1"/>
    </xf>
    <xf numFmtId="0" fontId="3" fillId="2" borderId="2" xfId="1" applyFont="1" applyBorder="1" applyAlignment="1">
      <alignment horizontal="center" wrapText="1"/>
    </xf>
    <xf numFmtId="0" fontId="3" fillId="2" borderId="1" xfId="1" applyFont="1" applyBorder="1" applyAlignment="1">
      <alignment horizontal="center" wrapText="1"/>
    </xf>
    <xf numFmtId="0" fontId="3" fillId="3" borderId="6" xfId="2" applyFont="1" applyBorder="1" applyAlignment="1">
      <alignment horizontal="center" wrapText="1"/>
    </xf>
    <xf numFmtId="164" fontId="3" fillId="0" borderId="0" xfId="0" applyNumberFormat="1" applyFont="1"/>
    <xf numFmtId="0" fontId="3" fillId="3" borderId="2" xfId="2" applyFont="1" applyBorder="1" applyAlignment="1">
      <alignment horizontal="center"/>
    </xf>
    <xf numFmtId="0" fontId="3" fillId="3" borderId="4" xfId="2" applyFont="1" applyBorder="1" applyAlignment="1">
      <alignment horizontal="center"/>
    </xf>
    <xf numFmtId="0" fontId="3" fillId="0" borderId="12" xfId="0" applyFont="1" applyBorder="1"/>
    <xf numFmtId="0" fontId="3" fillId="2" borderId="13" xfId="1" applyFont="1" applyBorder="1"/>
    <xf numFmtId="0" fontId="3" fillId="3" borderId="12" xfId="2" applyFont="1" applyBorder="1"/>
    <xf numFmtId="0" fontId="3" fillId="4" borderId="12" xfId="3" applyFont="1" applyBorder="1"/>
    <xf numFmtId="0" fontId="3" fillId="2" borderId="3" xfId="1" applyFont="1" applyBorder="1" applyAlignment="1">
      <alignment horizontal="left" vertical="top" wrapText="1"/>
    </xf>
    <xf numFmtId="0" fontId="3" fillId="4" borderId="3" xfId="3" applyFont="1" applyBorder="1" applyAlignment="1">
      <alignment horizontal="center" wrapText="1"/>
    </xf>
    <xf numFmtId="0" fontId="3" fillId="3" borderId="3" xfId="2" applyFont="1" applyBorder="1" applyAlignment="1">
      <alignment horizontal="center" wrapText="1"/>
    </xf>
    <xf numFmtId="0" fontId="3" fillId="4" borderId="6" xfId="3" applyFont="1" applyBorder="1" applyAlignment="1">
      <alignment horizontal="center" wrapText="1"/>
    </xf>
    <xf numFmtId="0" fontId="3" fillId="2" borderId="1" xfId="1" applyFont="1" applyBorder="1" applyAlignment="1">
      <alignment horizontal="center" wrapText="1"/>
    </xf>
    <xf numFmtId="0" fontId="3" fillId="2" borderId="1" xfId="1" applyFont="1" applyBorder="1" applyAlignment="1">
      <alignment horizontal="center" vertical="center" wrapText="1"/>
    </xf>
    <xf numFmtId="164" fontId="3" fillId="3" borderId="3" xfId="2" applyNumberFormat="1" applyFont="1" applyBorder="1" applyAlignment="1">
      <alignment horizontal="center" vertical="center" wrapText="1"/>
    </xf>
    <xf numFmtId="164" fontId="3" fillId="3" borderId="6" xfId="2" applyNumberFormat="1" applyFont="1" applyBorder="1" applyAlignment="1">
      <alignment horizontal="center" vertical="center" wrapText="1"/>
    </xf>
    <xf numFmtId="9" fontId="3" fillId="3" borderId="3" xfId="2" applyNumberFormat="1" applyFont="1" applyBorder="1" applyAlignment="1">
      <alignment horizontal="center" vertical="center" wrapText="1"/>
    </xf>
    <xf numFmtId="0" fontId="3" fillId="3" borderId="3" xfId="2" applyFont="1" applyBorder="1" applyAlignment="1">
      <alignment horizontal="center" vertical="center" wrapText="1"/>
    </xf>
    <xf numFmtId="0" fontId="3" fillId="3" borderId="6" xfId="2" applyFont="1" applyBorder="1" applyAlignment="1">
      <alignment horizontal="center" wrapText="1"/>
    </xf>
    <xf numFmtId="0" fontId="3" fillId="3" borderId="7" xfId="2" applyFont="1" applyBorder="1" applyAlignment="1">
      <alignment horizontal="center" wrapText="1"/>
    </xf>
    <xf numFmtId="0" fontId="3" fillId="3" borderId="4" xfId="2" applyFont="1" applyBorder="1" applyAlignment="1">
      <alignment horizontal="center" wrapText="1"/>
    </xf>
    <xf numFmtId="0" fontId="3" fillId="2" borderId="8" xfId="1" applyFont="1" applyBorder="1" applyAlignment="1">
      <alignment horizontal="left" vertical="top"/>
    </xf>
    <xf numFmtId="0" fontId="3" fillId="2" borderId="9" xfId="1" applyFont="1" applyBorder="1" applyAlignment="1">
      <alignment horizontal="left" vertical="top"/>
    </xf>
    <xf numFmtId="0" fontId="3" fillId="2" borderId="10" xfId="1" applyFont="1" applyBorder="1" applyAlignment="1">
      <alignment horizontal="left" vertical="top"/>
    </xf>
    <xf numFmtId="0" fontId="3" fillId="2" borderId="11" xfId="1" applyFont="1" applyBorder="1" applyAlignment="1">
      <alignment horizontal="left" vertical="top"/>
    </xf>
    <xf numFmtId="0" fontId="3" fillId="3" borderId="6" xfId="2" applyFont="1" applyBorder="1" applyAlignment="1">
      <alignment horizontal="center" vertical="center" wrapText="1"/>
    </xf>
    <xf numFmtId="0" fontId="3" fillId="2" borderId="3" xfId="1" applyFont="1" applyBorder="1" applyAlignment="1">
      <alignment vertical="top" wrapText="1"/>
    </xf>
    <xf numFmtId="0" fontId="3" fillId="2" borderId="4" xfId="1" applyFont="1" applyBorder="1" applyAlignment="1">
      <alignment vertical="top" wrapText="1"/>
    </xf>
  </cellXfs>
  <cellStyles count="4">
    <cellStyle name="40% - Акцент1" xfId="1" builtinId="31"/>
    <cellStyle name="40% - Акцент3" xfId="2" builtinId="39"/>
    <cellStyle name="40% - Акцент6" xfId="3" builtin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4"/>
  <sheetViews>
    <sheetView tabSelected="1" zoomScaleNormal="100" workbookViewId="0">
      <selection activeCell="G12" sqref="G12"/>
    </sheetView>
  </sheetViews>
  <sheetFormatPr defaultRowHeight="18.75" x14ac:dyDescent="0.3"/>
  <cols>
    <col min="1" max="1" width="60.42578125" style="7" customWidth="1"/>
    <col min="2" max="2" width="11.5703125" style="7" bestFit="1" customWidth="1"/>
    <col min="3" max="4" width="9.140625" style="7"/>
    <col min="5" max="5" width="16.5703125" style="7" customWidth="1"/>
    <col min="6" max="16384" width="9.140625" style="7"/>
  </cols>
  <sheetData>
    <row r="1" spans="1:8" ht="19.5" thickBot="1" x14ac:dyDescent="0.35">
      <c r="A1" s="24" t="s">
        <v>0</v>
      </c>
      <c r="B1" s="23" t="s">
        <v>1</v>
      </c>
      <c r="C1" s="23"/>
      <c r="D1" s="23"/>
      <c r="E1" s="24" t="s">
        <v>2</v>
      </c>
      <c r="F1" s="1"/>
    </row>
    <row r="2" spans="1:8" ht="19.5" thickBot="1" x14ac:dyDescent="0.35">
      <c r="A2" s="24"/>
      <c r="B2" s="9" t="s">
        <v>3</v>
      </c>
      <c r="C2" s="10" t="s">
        <v>4</v>
      </c>
      <c r="D2" s="10" t="s">
        <v>5</v>
      </c>
      <c r="E2" s="24"/>
      <c r="F2" s="1"/>
    </row>
    <row r="3" spans="1:8" x14ac:dyDescent="0.3">
      <c r="A3" s="2" t="s">
        <v>6</v>
      </c>
      <c r="B3" s="3">
        <v>5</v>
      </c>
      <c r="C3" s="3">
        <v>10</v>
      </c>
      <c r="D3" s="4">
        <v>20</v>
      </c>
      <c r="E3" s="5">
        <f>SUM(B3:D3)</f>
        <v>35</v>
      </c>
      <c r="F3" s="1"/>
    </row>
    <row r="4" spans="1:8" x14ac:dyDescent="0.3">
      <c r="A4" s="19" t="s">
        <v>8</v>
      </c>
      <c r="B4" s="20">
        <v>500</v>
      </c>
      <c r="C4" s="20">
        <v>700</v>
      </c>
      <c r="D4" s="22">
        <v>300</v>
      </c>
      <c r="E4" s="21">
        <f>SUM(B4:D4)</f>
        <v>1500</v>
      </c>
      <c r="F4" s="1"/>
    </row>
    <row r="5" spans="1:8" ht="24.75" customHeight="1" x14ac:dyDescent="0.3">
      <c r="A5" s="19"/>
      <c r="B5" s="20"/>
      <c r="C5" s="20"/>
      <c r="D5" s="22"/>
      <c r="E5" s="21"/>
      <c r="F5" s="1"/>
    </row>
    <row r="6" spans="1:8" x14ac:dyDescent="0.3">
      <c r="A6" s="6" t="s">
        <v>9</v>
      </c>
      <c r="B6" s="8">
        <f>B3*B4</f>
        <v>2500</v>
      </c>
      <c r="C6" s="8">
        <f>C3*C4</f>
        <v>7000</v>
      </c>
      <c r="D6" s="11">
        <f>D3*D4</f>
        <v>6000</v>
      </c>
      <c r="E6" s="8">
        <f>SUM(B6:D6)</f>
        <v>15500</v>
      </c>
      <c r="F6" s="1"/>
    </row>
    <row r="7" spans="1:8" x14ac:dyDescent="0.3">
      <c r="A7" s="19" t="s">
        <v>7</v>
      </c>
      <c r="B7" s="25">
        <f>B4/E4</f>
        <v>0.33333333333333331</v>
      </c>
      <c r="C7" s="25">
        <f>C4/E4</f>
        <v>0.46666666666666667</v>
      </c>
      <c r="D7" s="26">
        <f>D4/E4</f>
        <v>0.2</v>
      </c>
      <c r="E7" s="27">
        <f>SUM(B7:D7)</f>
        <v>1</v>
      </c>
      <c r="F7" s="1"/>
    </row>
    <row r="8" spans="1:8" ht="24.75" customHeight="1" x14ac:dyDescent="0.3">
      <c r="A8" s="19"/>
      <c r="B8" s="25"/>
      <c r="C8" s="25"/>
      <c r="D8" s="26"/>
      <c r="E8" s="27"/>
      <c r="F8" s="1"/>
    </row>
    <row r="9" spans="1:8" x14ac:dyDescent="0.3">
      <c r="A9" s="19" t="s">
        <v>10</v>
      </c>
      <c r="B9" s="20">
        <v>3</v>
      </c>
      <c r="C9" s="20">
        <v>6</v>
      </c>
      <c r="D9" s="22">
        <v>12</v>
      </c>
      <c r="E9" s="21">
        <f>SUM(B9:D9)</f>
        <v>21</v>
      </c>
      <c r="F9" s="1"/>
      <c r="H9" s="12"/>
    </row>
    <row r="10" spans="1:8" ht="24.75" customHeight="1" x14ac:dyDescent="0.3">
      <c r="A10" s="19"/>
      <c r="B10" s="20"/>
      <c r="C10" s="20"/>
      <c r="D10" s="22"/>
      <c r="E10" s="21"/>
      <c r="F10" s="1"/>
    </row>
    <row r="11" spans="1:8" x14ac:dyDescent="0.3">
      <c r="A11" s="19" t="s">
        <v>11</v>
      </c>
      <c r="B11" s="28">
        <f>B9*B4</f>
        <v>1500</v>
      </c>
      <c r="C11" s="28">
        <f>C9*C4</f>
        <v>4200</v>
      </c>
      <c r="D11" s="36">
        <f>D9*D4</f>
        <v>3600</v>
      </c>
      <c r="E11" s="28">
        <f>SUM(B11:D11)</f>
        <v>9300</v>
      </c>
      <c r="F11" s="1"/>
    </row>
    <row r="12" spans="1:8" ht="24.75" customHeight="1" x14ac:dyDescent="0.3">
      <c r="A12" s="19"/>
      <c r="B12" s="28"/>
      <c r="C12" s="28"/>
      <c r="D12" s="36"/>
      <c r="E12" s="28"/>
      <c r="F12" s="1"/>
    </row>
    <row r="13" spans="1:8" x14ac:dyDescent="0.3">
      <c r="A13" s="37" t="s">
        <v>12</v>
      </c>
      <c r="B13" s="21">
        <f>E13*B7</f>
        <v>2000</v>
      </c>
      <c r="C13" s="21">
        <f>E13*C7</f>
        <v>2800</v>
      </c>
      <c r="D13" s="29">
        <f>E13*D7</f>
        <v>1200</v>
      </c>
      <c r="E13" s="20">
        <v>6000</v>
      </c>
      <c r="F13" s="1"/>
    </row>
    <row r="14" spans="1:8" ht="24.75" customHeight="1" thickBot="1" x14ac:dyDescent="0.35">
      <c r="A14" s="38"/>
      <c r="B14" s="31"/>
      <c r="C14" s="31"/>
      <c r="D14" s="30"/>
      <c r="E14" s="20"/>
      <c r="F14" s="1"/>
    </row>
    <row r="15" spans="1:8" x14ac:dyDescent="0.3">
      <c r="A15" s="32" t="s">
        <v>14</v>
      </c>
      <c r="B15" s="32"/>
      <c r="C15" s="32"/>
      <c r="D15" s="33"/>
      <c r="E15" s="13">
        <f>E11+E13</f>
        <v>15300</v>
      </c>
      <c r="F15" s="1"/>
    </row>
    <row r="16" spans="1:8" ht="19.5" thickBot="1" x14ac:dyDescent="0.35">
      <c r="A16" s="34" t="s">
        <v>13</v>
      </c>
      <c r="B16" s="34"/>
      <c r="C16" s="34"/>
      <c r="D16" s="35"/>
      <c r="E16" s="14">
        <f>E6-E15</f>
        <v>200</v>
      </c>
      <c r="F16" s="1"/>
    </row>
    <row r="20" spans="1:1" ht="19.5" thickBot="1" x14ac:dyDescent="0.35"/>
    <row r="21" spans="1:1" ht="19.5" thickBot="1" x14ac:dyDescent="0.35">
      <c r="A21" s="15" t="s">
        <v>18</v>
      </c>
    </row>
    <row r="22" spans="1:1" ht="19.5" thickBot="1" x14ac:dyDescent="0.35">
      <c r="A22" s="16" t="s">
        <v>15</v>
      </c>
    </row>
    <row r="23" spans="1:1" ht="19.5" thickBot="1" x14ac:dyDescent="0.35">
      <c r="A23" s="17" t="s">
        <v>16</v>
      </c>
    </row>
    <row r="24" spans="1:1" ht="19.5" thickBot="1" x14ac:dyDescent="0.35">
      <c r="A24" s="18" t="s">
        <v>17</v>
      </c>
    </row>
  </sheetData>
  <mergeCells count="30">
    <mergeCell ref="A15:D15"/>
    <mergeCell ref="A16:D16"/>
    <mergeCell ref="B11:B12"/>
    <mergeCell ref="C11:C12"/>
    <mergeCell ref="D11:D12"/>
    <mergeCell ref="A11:A12"/>
    <mergeCell ref="A13:A14"/>
    <mergeCell ref="E11:E12"/>
    <mergeCell ref="E13:E14"/>
    <mergeCell ref="D13:D14"/>
    <mergeCell ref="C13:C14"/>
    <mergeCell ref="B13:B14"/>
    <mergeCell ref="B1:D1"/>
    <mergeCell ref="A1:A2"/>
    <mergeCell ref="E1:E2"/>
    <mergeCell ref="A4:A5"/>
    <mergeCell ref="A7:A8"/>
    <mergeCell ref="B4:B5"/>
    <mergeCell ref="C4:C5"/>
    <mergeCell ref="D4:D5"/>
    <mergeCell ref="E4:E5"/>
    <mergeCell ref="B7:B8"/>
    <mergeCell ref="C7:C8"/>
    <mergeCell ref="D7:D8"/>
    <mergeCell ref="E7:E8"/>
    <mergeCell ref="A9:A10"/>
    <mergeCell ref="B9:B10"/>
    <mergeCell ref="E9:E10"/>
    <mergeCell ref="D9:D10"/>
    <mergeCell ref="C9:C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 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Шухрат Аширов</dc:creator>
  <cp:lastModifiedBy>Шухрат Аширов</cp:lastModifiedBy>
  <dcterms:created xsi:type="dcterms:W3CDTF">2022-12-05T13:29:16Z</dcterms:created>
  <dcterms:modified xsi:type="dcterms:W3CDTF">2022-12-07T09:28:57Z</dcterms:modified>
</cp:coreProperties>
</file>