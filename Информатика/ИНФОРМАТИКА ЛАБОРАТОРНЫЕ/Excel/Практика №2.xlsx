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Информатика\ИНФОРМАТИКА ЛАБОРАТОРНЫЕ\Excel\"/>
    </mc:Choice>
  </mc:AlternateContent>
  <xr:revisionPtr revIDLastSave="0" documentId="13_ncr:1_{ADA67690-B4D2-4ECC-821D-BAE240F65B6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Вариант 21" sheetId="1" r:id="rId1"/>
    <sheet name="Задание 1" sheetId="2" r:id="rId2"/>
    <sheet name="Задание 2" sheetId="3" r:id="rId3"/>
    <sheet name="Биоритм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G5" i="1"/>
  <c r="G6" i="1"/>
  <c r="G7" i="1"/>
  <c r="G8" i="1"/>
  <c r="G9" i="1"/>
  <c r="G10" i="1"/>
  <c r="G11" i="1"/>
  <c r="G12" i="1"/>
  <c r="G13" i="1"/>
  <c r="G4" i="1"/>
  <c r="E4" i="1" s="1"/>
  <c r="C14" i="1"/>
  <c r="B14" i="1"/>
  <c r="D13" i="1"/>
  <c r="D12" i="1"/>
  <c r="D11" i="1"/>
  <c r="D10" i="1"/>
  <c r="D9" i="1"/>
  <c r="D8" i="1"/>
  <c r="D7" i="1"/>
  <c r="D6" i="1"/>
  <c r="D5" i="1"/>
  <c r="D4" i="1"/>
  <c r="E14" i="1" l="1"/>
  <c r="F14" i="1"/>
  <c r="D14" i="1"/>
  <c r="B4" i="4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" i="3"/>
  <c r="B3" i="3"/>
  <c r="B4" i="3"/>
  <c r="B5" i="3"/>
  <c r="B6" i="3"/>
  <c r="B7" i="3"/>
  <c r="B8" i="3"/>
  <c r="B9" i="3"/>
  <c r="B10" i="3"/>
  <c r="B2" i="3"/>
  <c r="A12" i="4" l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6" i="4"/>
  <c r="B5" i="4"/>
  <c r="B12" i="4" s="1"/>
  <c r="B13" i="4" l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C12" i="4"/>
  <c r="D12" i="4"/>
  <c r="E12" i="4"/>
  <c r="C13" i="4" l="1"/>
  <c r="G12" i="4"/>
  <c r="H12" i="4"/>
  <c r="F12" i="4"/>
  <c r="D13" i="4"/>
  <c r="E13" i="4"/>
  <c r="H13" i="4" l="1"/>
  <c r="F13" i="4"/>
  <c r="G13" i="4"/>
  <c r="C14" i="4"/>
  <c r="D14" i="4"/>
  <c r="E14" i="4"/>
  <c r="H14" i="4" l="1"/>
  <c r="F14" i="4"/>
  <c r="G14" i="4"/>
  <c r="C15" i="4"/>
  <c r="D15" i="4"/>
  <c r="E15" i="4"/>
  <c r="H15" i="4" l="1"/>
  <c r="F15" i="4"/>
  <c r="G15" i="4"/>
  <c r="E16" i="4"/>
  <c r="D16" i="4"/>
  <c r="C16" i="4"/>
  <c r="G16" i="4" l="1"/>
  <c r="H16" i="4"/>
  <c r="F16" i="4"/>
  <c r="C17" i="4"/>
  <c r="D17" i="4"/>
  <c r="E17" i="4"/>
  <c r="G17" i="4" l="1"/>
  <c r="F17" i="4"/>
  <c r="H17" i="4"/>
  <c r="D18" i="4"/>
  <c r="E18" i="4"/>
  <c r="C18" i="4"/>
  <c r="G18" i="4" l="1"/>
  <c r="H18" i="4"/>
  <c r="F18" i="4"/>
  <c r="D19" i="4"/>
  <c r="E19" i="4"/>
  <c r="C19" i="4"/>
  <c r="G19" i="4" l="1"/>
  <c r="H19" i="4"/>
  <c r="F19" i="4"/>
  <c r="E20" i="4"/>
  <c r="C20" i="4"/>
  <c r="D20" i="4"/>
  <c r="G20" i="4" l="1"/>
  <c r="H20" i="4"/>
  <c r="F20" i="4"/>
  <c r="C21" i="4"/>
  <c r="D21" i="4"/>
  <c r="E21" i="4"/>
  <c r="F21" i="4" l="1"/>
  <c r="G21" i="4"/>
  <c r="H21" i="4"/>
  <c r="D22" i="4"/>
  <c r="C22" i="4"/>
  <c r="E22" i="4"/>
  <c r="F22" i="4" l="1"/>
  <c r="H22" i="4"/>
  <c r="G22" i="4"/>
  <c r="D23" i="4"/>
  <c r="E23" i="4"/>
  <c r="C23" i="4"/>
  <c r="F23" i="4" l="1"/>
  <c r="G23" i="4"/>
  <c r="H23" i="4"/>
  <c r="E24" i="4"/>
  <c r="C24" i="4"/>
  <c r="D24" i="4"/>
  <c r="F24" i="4" l="1"/>
  <c r="H24" i="4"/>
  <c r="G24" i="4"/>
  <c r="C25" i="4"/>
  <c r="D25" i="4"/>
  <c r="E25" i="4"/>
  <c r="H25" i="4" l="1"/>
  <c r="G25" i="4"/>
  <c r="F25" i="4"/>
  <c r="E26" i="4"/>
  <c r="D26" i="4"/>
  <c r="C26" i="4"/>
  <c r="H26" i="4" l="1"/>
  <c r="G26" i="4"/>
  <c r="F26" i="4"/>
  <c r="E27" i="4"/>
  <c r="C27" i="4"/>
  <c r="D27" i="4"/>
  <c r="F27" i="4" l="1"/>
  <c r="G27" i="4"/>
  <c r="H27" i="4"/>
  <c r="E28" i="4"/>
  <c r="D28" i="4"/>
  <c r="C28" i="4"/>
  <c r="F28" i="4" l="1"/>
  <c r="G28" i="4"/>
  <c r="H28" i="4"/>
  <c r="C29" i="4"/>
  <c r="D29" i="4"/>
  <c r="E29" i="4"/>
  <c r="H29" i="4" l="1"/>
  <c r="G29" i="4"/>
  <c r="F29" i="4"/>
  <c r="E30" i="4"/>
  <c r="C30" i="4"/>
  <c r="D30" i="4"/>
  <c r="G30" i="4" l="1"/>
  <c r="H30" i="4"/>
  <c r="F30" i="4"/>
  <c r="D31" i="4"/>
  <c r="E31" i="4"/>
  <c r="C31" i="4"/>
  <c r="G31" i="4" l="1"/>
  <c r="F31" i="4"/>
  <c r="H31" i="4"/>
  <c r="E32" i="4"/>
  <c r="C32" i="4"/>
  <c r="D32" i="4"/>
  <c r="H32" i="4" l="1"/>
  <c r="F32" i="4"/>
  <c r="G32" i="4"/>
  <c r="C33" i="4"/>
  <c r="D33" i="4"/>
  <c r="E33" i="4"/>
  <c r="H33" i="4" l="1"/>
  <c r="F33" i="4"/>
  <c r="G33" i="4"/>
  <c r="E34" i="4"/>
  <c r="C34" i="4"/>
  <c r="D34" i="4"/>
  <c r="G34" i="4" l="1"/>
  <c r="F34" i="4"/>
  <c r="H34" i="4"/>
  <c r="C35" i="4"/>
  <c r="E35" i="4"/>
  <c r="D35" i="4"/>
  <c r="F35" i="4" l="1"/>
  <c r="H35" i="4"/>
  <c r="G35" i="4"/>
  <c r="E36" i="4"/>
  <c r="C36" i="4"/>
  <c r="D36" i="4"/>
  <c r="F36" i="4" l="1"/>
  <c r="G36" i="4"/>
  <c r="H36" i="4"/>
  <c r="C37" i="4"/>
  <c r="D37" i="4"/>
  <c r="E37" i="4"/>
  <c r="H37" i="4" l="1"/>
  <c r="F37" i="4"/>
  <c r="G37" i="4"/>
  <c r="D38" i="4"/>
  <c r="C38" i="4"/>
  <c r="E38" i="4"/>
  <c r="H38" i="4" l="1"/>
  <c r="G38" i="4"/>
  <c r="F38" i="4"/>
  <c r="D39" i="4"/>
  <c r="E39" i="4"/>
  <c r="C39" i="4"/>
  <c r="G39" i="4" l="1"/>
  <c r="H39" i="4"/>
  <c r="F39" i="4"/>
  <c r="E40" i="4"/>
  <c r="D40" i="4"/>
  <c r="C40" i="4"/>
  <c r="H40" i="4" l="1"/>
  <c r="F40" i="4"/>
  <c r="G40" i="4"/>
  <c r="C41" i="4"/>
  <c r="E41" i="4"/>
  <c r="D41" i="4"/>
  <c r="H41" i="4" l="1"/>
  <c r="F41" i="4"/>
  <c r="G41" i="4"/>
  <c r="D42" i="4"/>
  <c r="C42" i="4"/>
  <c r="E42" i="4"/>
  <c r="G42" i="4" l="1"/>
  <c r="H42" i="4"/>
  <c r="F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4" authorId="0" shapeId="0" xr:uid="{A45EC41B-37F1-4934-99CA-F55FA8AD2058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Балансовая стоимость</t>
        </r>
      </text>
    </comment>
    <comment ref="C14" authorId="0" shapeId="0" xr:uid="{34DDC1C8-8E6A-4F70-B1E1-87B55EAB4F8E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Износ</t>
        </r>
      </text>
    </comment>
    <comment ref="D14" authorId="0" shapeId="0" xr:uid="{06EBC135-951B-477C-B76A-59D00F3EAEE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Остаточная стоимость</t>
        </r>
      </text>
    </comment>
    <comment ref="E14" authorId="0" shapeId="0" xr:uid="{3A59F925-AB1C-48A6-AC06-5EBC1DAB06E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Восстановительная полная стоимость</t>
        </r>
      </text>
    </comment>
    <comment ref="F14" authorId="0" shapeId="0" xr:uid="{DDA1B575-0269-489A-AD87-C4E1A0A9C75F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Восстановительная остаточная стоимость</t>
        </r>
      </text>
    </comment>
  </commentList>
</comments>
</file>

<file path=xl/sharedStrings.xml><?xml version="1.0" encoding="utf-8"?>
<sst xmlns="http://schemas.openxmlformats.org/spreadsheetml/2006/main" count="47" uniqueCount="44">
  <si>
    <t>Итого</t>
  </si>
  <si>
    <t>Заголовки</t>
  </si>
  <si>
    <t>Вычисления</t>
  </si>
  <si>
    <t>Исходные данные</t>
  </si>
  <si>
    <t>Примечание:</t>
  </si>
  <si>
    <t>Табуляция 0,5</t>
  </si>
  <si>
    <t>Табуляция 0,2</t>
  </si>
  <si>
    <t>Табуляция 0,1</t>
  </si>
  <si>
    <t>ФИО</t>
  </si>
  <si>
    <t>Периоды биоритмов</t>
  </si>
  <si>
    <t>Дата рождения</t>
  </si>
  <si>
    <t>Физический</t>
  </si>
  <si>
    <t>Дата начало исследования</t>
  </si>
  <si>
    <t>Эмоциональный</t>
  </si>
  <si>
    <t>Дата конца исследования</t>
  </si>
  <si>
    <t>Интеллектуальный</t>
  </si>
  <si>
    <t>Прожитые дни (к началу исследования)</t>
  </si>
  <si>
    <t>Прожитые годы (к началу исследования)</t>
  </si>
  <si>
    <t>Таблица биоритмов</t>
  </si>
  <si>
    <t>Дата исследования</t>
  </si>
  <si>
    <t>Прожитый день</t>
  </si>
  <si>
    <t>Значение функций</t>
  </si>
  <si>
    <t>Визуальное представление</t>
  </si>
  <si>
    <t>Физ. Цикл</t>
  </si>
  <si>
    <t>Эмоц. цикл</t>
  </si>
  <si>
    <t>Инт. Цикл</t>
  </si>
  <si>
    <t>Корженевский М.В</t>
  </si>
  <si>
    <t>Наименование объекта</t>
  </si>
  <si>
    <t>Балансовая стоимость</t>
  </si>
  <si>
    <t>Износ</t>
  </si>
  <si>
    <t>Остаточная стоимость</t>
  </si>
  <si>
    <t>Восстановительная полная стоимость</t>
  </si>
  <si>
    <t>Восстановительная остаточная стоимость</t>
  </si>
  <si>
    <t>Заводоуправление</t>
  </si>
  <si>
    <t>Диспетчерская</t>
  </si>
  <si>
    <t>Цех №1</t>
  </si>
  <si>
    <t>Цех №2</t>
  </si>
  <si>
    <t>Цех №3</t>
  </si>
  <si>
    <t>Цех №4</t>
  </si>
  <si>
    <t>Склад №1</t>
  </si>
  <si>
    <t>Склад №2</t>
  </si>
  <si>
    <t>Склад №3</t>
  </si>
  <si>
    <t>Склад №4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</si>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</sst>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/>
    <xf numFmtId="0" fontId="3" fillId="2" borderId="2" xfId="1" applyFont="1" applyBorder="1"/>
    <xf numFmtId="0" fontId="0" fillId="5" borderId="3" xfId="0" applyFill="1" applyBorder="1"/>
    <xf numFmtId="14" fontId="0" fillId="5" borderId="3" xfId="0" applyNumberFormat="1" applyFill="1" applyBorder="1"/>
    <xf numFmtId="14" fontId="0" fillId="0" borderId="0" xfId="0" applyNumberFormat="1"/>
    <xf numFmtId="1" fontId="0" fillId="5" borderId="3" xfId="0" applyNumberFormat="1" applyFill="1" applyBorder="1"/>
    <xf numFmtId="0" fontId="0" fillId="0" borderId="3" xfId="0" applyBorder="1" applyAlignment="1">
      <alignment horizontal="center"/>
    </xf>
    <xf numFmtId="0" fontId="0" fillId="6" borderId="3" xfId="0" applyFill="1" applyBorder="1"/>
    <xf numFmtId="0" fontId="0" fillId="6" borderId="0" xfId="0" applyFill="1"/>
    <xf numFmtId="0" fontId="0" fillId="0" borderId="3" xfId="0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8" borderId="1" xfId="3" applyFont="1" applyFill="1" applyBorder="1"/>
    <xf numFmtId="0" fontId="3" fillId="9" borderId="1" xfId="2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</cellXfs>
  <cellStyles count="4">
    <cellStyle name="40% — акцент1" xfId="1" builtinId="31"/>
    <cellStyle name="40% — акцент3" xfId="2" builtinId="39"/>
    <cellStyle name="40% — акцент6" xfId="3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затрат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'Вариант 21'!$B$3</c:f>
              <c:strCache>
                <c:ptCount val="1"/>
                <c:pt idx="0">
                  <c:v>Балансовая стоимость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'Вариант 21'!$A$4:$A$14</c:f>
              <c:strCache>
                <c:ptCount val="11"/>
                <c:pt idx="0">
                  <c:v>Заводоуправление</c:v>
                </c:pt>
                <c:pt idx="1">
                  <c:v>Диспетчерская</c:v>
                </c:pt>
                <c:pt idx="2">
                  <c:v>Цех №1</c:v>
                </c:pt>
                <c:pt idx="3">
                  <c:v>Цех №2</c:v>
                </c:pt>
                <c:pt idx="4">
                  <c:v>Цех №3</c:v>
                </c:pt>
                <c:pt idx="5">
                  <c:v>Цех №4</c:v>
                </c:pt>
                <c:pt idx="6">
                  <c:v>Склад №1</c:v>
                </c:pt>
                <c:pt idx="7">
                  <c:v>Склад №2</c:v>
                </c:pt>
                <c:pt idx="8">
                  <c:v>Склад №3</c:v>
                </c:pt>
                <c:pt idx="9">
                  <c:v>Склад №4</c:v>
                </c:pt>
                <c:pt idx="10">
                  <c:v>Итого</c:v>
                </c:pt>
              </c:strCache>
            </c:strRef>
          </c:cat>
          <c:val>
            <c:numRef>
              <c:f>'Вариант 21'!$B$4:$B$14</c:f>
              <c:numCache>
                <c:formatCode>General</c:formatCode>
                <c:ptCount val="11"/>
                <c:pt idx="0">
                  <c:v>12556.4</c:v>
                </c:pt>
                <c:pt idx="1">
                  <c:v>184</c:v>
                </c:pt>
                <c:pt idx="2">
                  <c:v>954.4</c:v>
                </c:pt>
                <c:pt idx="3">
                  <c:v>821.9</c:v>
                </c:pt>
                <c:pt idx="4">
                  <c:v>529.6</c:v>
                </c:pt>
                <c:pt idx="5">
                  <c:v>758.4</c:v>
                </c:pt>
                <c:pt idx="6">
                  <c:v>580.20000000000005</c:v>
                </c:pt>
                <c:pt idx="7">
                  <c:v>443.9</c:v>
                </c:pt>
                <c:pt idx="8">
                  <c:v>579</c:v>
                </c:pt>
                <c:pt idx="9">
                  <c:v>322.8</c:v>
                </c:pt>
                <c:pt idx="10">
                  <c:v>17730.599999999999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D-4930-AE03-85C72E1EFC59}"/>
            </c:ext>
          </c:extLst>
        </c:ser>
        <c:ser>
          <c:idx val="1"/>
          <c:order val="1"/>
          <c:tx>
            <c:strRef>
              <c:f>'Вариант 21'!$C$3</c:f>
              <c:strCache>
                <c:ptCount val="1"/>
                <c:pt idx="0">
                  <c:v>Износ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'Вариант 21'!$A$4:$A$14</c:f>
              <c:strCache>
                <c:ptCount val="11"/>
                <c:pt idx="0">
                  <c:v>Заводоуправление</c:v>
                </c:pt>
                <c:pt idx="1">
                  <c:v>Диспетчерская</c:v>
                </c:pt>
                <c:pt idx="2">
                  <c:v>Цех №1</c:v>
                </c:pt>
                <c:pt idx="3">
                  <c:v>Цех №2</c:v>
                </c:pt>
                <c:pt idx="4">
                  <c:v>Цех №3</c:v>
                </c:pt>
                <c:pt idx="5">
                  <c:v>Цех №4</c:v>
                </c:pt>
                <c:pt idx="6">
                  <c:v>Склад №1</c:v>
                </c:pt>
                <c:pt idx="7">
                  <c:v>Склад №2</c:v>
                </c:pt>
                <c:pt idx="8">
                  <c:v>Склад №3</c:v>
                </c:pt>
                <c:pt idx="9">
                  <c:v>Склад №4</c:v>
                </c:pt>
                <c:pt idx="10">
                  <c:v>Итого</c:v>
                </c:pt>
              </c:strCache>
            </c:strRef>
          </c:cat>
          <c:val>
            <c:numRef>
              <c:f>'Вариант 21'!$C$4:$C$14</c:f>
              <c:numCache>
                <c:formatCode>General</c:formatCode>
                <c:ptCount val="11"/>
                <c:pt idx="0">
                  <c:v>589.29999999999995</c:v>
                </c:pt>
                <c:pt idx="1">
                  <c:v>51.2</c:v>
                </c:pt>
                <c:pt idx="2">
                  <c:v>235.1</c:v>
                </c:pt>
                <c:pt idx="3">
                  <c:v>218.9</c:v>
                </c:pt>
                <c:pt idx="4">
                  <c:v>124.7</c:v>
                </c:pt>
                <c:pt idx="5">
                  <c:v>171.1</c:v>
                </c:pt>
                <c:pt idx="6">
                  <c:v>223.3</c:v>
                </c:pt>
                <c:pt idx="7">
                  <c:v>98.6</c:v>
                </c:pt>
                <c:pt idx="8">
                  <c:v>123.4</c:v>
                </c:pt>
                <c:pt idx="9">
                  <c:v>69.8</c:v>
                </c:pt>
                <c:pt idx="10">
                  <c:v>1905.3999999999999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D-4930-AE03-85C72E1EFC59}"/>
            </c:ext>
          </c:extLst>
        </c:ser>
        <c:ser>
          <c:idx val="2"/>
          <c:order val="2"/>
          <c:tx>
            <c:strRef>
              <c:f>'Вариант 21'!$D$3</c:f>
              <c:strCache>
                <c:ptCount val="1"/>
                <c:pt idx="0">
                  <c:v>Остаточная стоимость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'Вариант 21'!$A$4:$A$14</c:f>
              <c:strCache>
                <c:ptCount val="11"/>
                <c:pt idx="0">
                  <c:v>Заводоуправление</c:v>
                </c:pt>
                <c:pt idx="1">
                  <c:v>Диспетчерская</c:v>
                </c:pt>
                <c:pt idx="2">
                  <c:v>Цех №1</c:v>
                </c:pt>
                <c:pt idx="3">
                  <c:v>Цех №2</c:v>
                </c:pt>
                <c:pt idx="4">
                  <c:v>Цех №3</c:v>
                </c:pt>
                <c:pt idx="5">
                  <c:v>Цех №4</c:v>
                </c:pt>
                <c:pt idx="6">
                  <c:v>Склад №1</c:v>
                </c:pt>
                <c:pt idx="7">
                  <c:v>Склад №2</c:v>
                </c:pt>
                <c:pt idx="8">
                  <c:v>Склад №3</c:v>
                </c:pt>
                <c:pt idx="9">
                  <c:v>Склад №4</c:v>
                </c:pt>
                <c:pt idx="10">
                  <c:v>Итого</c:v>
                </c:pt>
              </c:strCache>
            </c:strRef>
          </c:cat>
          <c:val>
            <c:numRef>
              <c:f>'Вариант 21'!$D$4:$D$14</c:f>
              <c:numCache>
                <c:formatCode>General</c:formatCode>
                <c:ptCount val="11"/>
                <c:pt idx="0">
                  <c:v>11967.1</c:v>
                </c:pt>
                <c:pt idx="1">
                  <c:v>132.80000000000001</c:v>
                </c:pt>
                <c:pt idx="2">
                  <c:v>719.3</c:v>
                </c:pt>
                <c:pt idx="3">
                  <c:v>603</c:v>
                </c:pt>
                <c:pt idx="4">
                  <c:v>404.90000000000003</c:v>
                </c:pt>
                <c:pt idx="5">
                  <c:v>587.29999999999995</c:v>
                </c:pt>
                <c:pt idx="6">
                  <c:v>356.90000000000003</c:v>
                </c:pt>
                <c:pt idx="7">
                  <c:v>345.29999999999995</c:v>
                </c:pt>
                <c:pt idx="8">
                  <c:v>455.6</c:v>
                </c:pt>
                <c:pt idx="9">
                  <c:v>253</c:v>
                </c:pt>
                <c:pt idx="10">
                  <c:v>15825.199999999997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DD-4930-AE03-85C72E1EFC59}"/>
            </c:ext>
          </c:extLst>
        </c:ser>
        <c:ser>
          <c:idx val="3"/>
          <c:order val="3"/>
          <c:tx>
            <c:strRef>
              <c:f>'Вариант 21'!$E$3</c:f>
              <c:strCache>
                <c:ptCount val="1"/>
                <c:pt idx="0">
                  <c:v>Восстановительная полная стоимость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'Вариант 21'!$A$4:$A$14</c:f>
              <c:strCache>
                <c:ptCount val="11"/>
                <c:pt idx="0">
                  <c:v>Заводоуправление</c:v>
                </c:pt>
                <c:pt idx="1">
                  <c:v>Диспетчерская</c:v>
                </c:pt>
                <c:pt idx="2">
                  <c:v>Цех №1</c:v>
                </c:pt>
                <c:pt idx="3">
                  <c:v>Цех №2</c:v>
                </c:pt>
                <c:pt idx="4">
                  <c:v>Цех №3</c:v>
                </c:pt>
                <c:pt idx="5">
                  <c:v>Цех №4</c:v>
                </c:pt>
                <c:pt idx="6">
                  <c:v>Склад №1</c:v>
                </c:pt>
                <c:pt idx="7">
                  <c:v>Склад №2</c:v>
                </c:pt>
                <c:pt idx="8">
                  <c:v>Склад №3</c:v>
                </c:pt>
                <c:pt idx="9">
                  <c:v>Склад №4</c:v>
                </c:pt>
                <c:pt idx="10">
                  <c:v>Итого</c:v>
                </c:pt>
              </c:strCache>
            </c:strRef>
          </c:cat>
          <c:val>
            <c:numRef>
              <c:f>'Вариант 21'!$E$4:$E$14</c:f>
              <c:numCache>
                <c:formatCode>General</c:formatCode>
                <c:ptCount val="11"/>
                <c:pt idx="0">
                  <c:v>37669.199999999997</c:v>
                </c:pt>
                <c:pt idx="1">
                  <c:v>368</c:v>
                </c:pt>
                <c:pt idx="2">
                  <c:v>2863.2</c:v>
                </c:pt>
                <c:pt idx="3">
                  <c:v>2465.6999999999998</c:v>
                </c:pt>
                <c:pt idx="4">
                  <c:v>1588.8000000000002</c:v>
                </c:pt>
                <c:pt idx="5">
                  <c:v>2275.1999999999998</c:v>
                </c:pt>
                <c:pt idx="6">
                  <c:v>1740.6000000000001</c:v>
                </c:pt>
                <c:pt idx="7">
                  <c:v>887.8</c:v>
                </c:pt>
                <c:pt idx="8">
                  <c:v>1737</c:v>
                </c:pt>
                <c:pt idx="9">
                  <c:v>645.6</c:v>
                </c:pt>
                <c:pt idx="10">
                  <c:v>52241.099999999991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DD-4930-AE03-85C72E1EFC59}"/>
            </c:ext>
          </c:extLst>
        </c:ser>
        <c:ser>
          <c:idx val="4"/>
          <c:order val="4"/>
          <c:tx>
            <c:strRef>
              <c:f>'Вариант 21'!$F$3</c:f>
              <c:strCache>
                <c:ptCount val="1"/>
                <c:pt idx="0">
                  <c:v>Восстановительная остаточная стоимость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'Вариант 21'!$A$4:$A$14</c:f>
              <c:strCache>
                <c:ptCount val="11"/>
                <c:pt idx="0">
                  <c:v>Заводоуправление</c:v>
                </c:pt>
                <c:pt idx="1">
                  <c:v>Диспетчерская</c:v>
                </c:pt>
                <c:pt idx="2">
                  <c:v>Цех №1</c:v>
                </c:pt>
                <c:pt idx="3">
                  <c:v>Цех №2</c:v>
                </c:pt>
                <c:pt idx="4">
                  <c:v>Цех №3</c:v>
                </c:pt>
                <c:pt idx="5">
                  <c:v>Цех №4</c:v>
                </c:pt>
                <c:pt idx="6">
                  <c:v>Склад №1</c:v>
                </c:pt>
                <c:pt idx="7">
                  <c:v>Склад №2</c:v>
                </c:pt>
                <c:pt idx="8">
                  <c:v>Склад №3</c:v>
                </c:pt>
                <c:pt idx="9">
                  <c:v>Склад №4</c:v>
                </c:pt>
                <c:pt idx="10">
                  <c:v>Итого</c:v>
                </c:pt>
              </c:strCache>
            </c:strRef>
          </c:cat>
          <c:val>
            <c:numRef>
              <c:f>'Вариант 21'!$F$4:$F$14</c:f>
              <c:numCache>
                <c:formatCode>General</c:formatCode>
                <c:ptCount val="11"/>
                <c:pt idx="0">
                  <c:v>35901.300000000003</c:v>
                </c:pt>
                <c:pt idx="1">
                  <c:v>265.60000000000002</c:v>
                </c:pt>
                <c:pt idx="2">
                  <c:v>2157.8999999999996</c:v>
                </c:pt>
                <c:pt idx="3">
                  <c:v>1809</c:v>
                </c:pt>
                <c:pt idx="4">
                  <c:v>1214.7</c:v>
                </c:pt>
                <c:pt idx="5">
                  <c:v>1761.8999999999999</c:v>
                </c:pt>
                <c:pt idx="6">
                  <c:v>1070.7</c:v>
                </c:pt>
                <c:pt idx="7">
                  <c:v>690.59999999999991</c:v>
                </c:pt>
                <c:pt idx="8">
                  <c:v>1366.8000000000002</c:v>
                </c:pt>
                <c:pt idx="9">
                  <c:v>506</c:v>
                </c:pt>
                <c:pt idx="10">
                  <c:v>46744.5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DD-4930-AE03-85C72E1EF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7043120"/>
        <c:axId val="1477030640"/>
      </c:barChart>
      <c:catAx>
        <c:axId val="147704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030640"/>
        <c:crosses val="autoZero"/>
        <c:auto val="1"/>
        <c:lblAlgn val="ctr"/>
        <c:lblOffset val="100"/>
        <c:noMultiLvlLbl val="0"/>
      </c:catAx>
      <c:valAx>
        <c:axId val="1477030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043120"/>
        <c:crosses val="autoZero"/>
        <c:crossBetween val="between"/>
        <c:min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Диаграмма при шаге 0,5</a:t>
            </a:r>
          </a:p>
        </c:rich>
      </c:tx>
      <c:layout>
        <c:manualLayout>
          <c:xMode val="edge"/>
          <c:yMode val="edge"/>
          <c:x val="0.20135654237949657"/>
          <c:y val="3.096773564282740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6404976187383991E-2"/>
          <c:y val="0.17906483534369613"/>
          <c:w val="0.78078996610804796"/>
          <c:h val="0.79268289709262951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'Задание 2'!$A$2:$A$10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'Задание 2'!$B$2:$B$10</c:f>
              <c:numCache>
                <c:formatCode>General</c:formatCode>
                <c:ptCount val="9"/>
                <c:pt idx="0">
                  <c:v>2.858877085425009</c:v>
                </c:pt>
                <c:pt idx="1">
                  <c:v>2.1224994114721865</c:v>
                </c:pt>
                <c:pt idx="2">
                  <c:v>1.5139110217335856</c:v>
                </c:pt>
                <c:pt idx="3">
                  <c:v>1.1270098282331302</c:v>
                </c:pt>
                <c:pt idx="4">
                  <c:v>1</c:v>
                </c:pt>
                <c:pt idx="5">
                  <c:v>0.79498479263099597</c:v>
                </c:pt>
                <c:pt idx="6">
                  <c:v>0.92026768565353589</c:v>
                </c:pt>
                <c:pt idx="7">
                  <c:v>1.0425327109084288</c:v>
                </c:pt>
                <c:pt idx="8">
                  <c:v>1.1620307936134864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C8-4296-8615-103CFEBD8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50112"/>
        <c:axId val="220656000"/>
      </c:scatterChart>
      <c:valAx>
        <c:axId val="220650112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crossAx val="220656000"/>
        <c:crosses val="autoZero"/>
        <c:crossBetween val="midCat"/>
      </c:valAx>
      <c:valAx>
        <c:axId val="22065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65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Диаграмма</a:t>
            </a:r>
            <a:r>
              <a:rPr lang="ru-RU" baseline="0"/>
              <a:t> при шаге 0,2</a:t>
            </a:r>
            <a:endParaRPr lang="ru-RU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8716366844738216E-2"/>
          <c:y val="0.14382255873249136"/>
          <c:w val="0.81759996232863552"/>
          <c:h val="0.81635967415408917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'Задание 2'!$D$2:$D$22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xVal>
          <c:yVal>
            <c:numRef>
              <c:f>'Задание 2'!$E$2:$E$22</c:f>
              <c:numCache>
                <c:formatCode>General</c:formatCode>
                <c:ptCount val="21"/>
                <c:pt idx="0">
                  <c:v>2.858877085425009</c:v>
                </c:pt>
                <c:pt idx="1">
                  <c:v>2.5557035805885091</c:v>
                </c:pt>
                <c:pt idx="2">
                  <c:v>2.2629300943914781</c:v>
                </c:pt>
                <c:pt idx="3">
                  <c:v>1.9871811265372039</c:v>
                </c:pt>
                <c:pt idx="4">
                  <c:v>1.7353106759970611</c:v>
                </c:pt>
                <c:pt idx="5">
                  <c:v>1.5139110217335856</c:v>
                </c:pt>
                <c:pt idx="6">
                  <c:v>1.3286836488981701</c:v>
                </c:pt>
                <c:pt idx="7">
                  <c:v>1.1837140183500137</c:v>
                </c:pt>
                <c:pt idx="8">
                  <c:v>1.0809039525663613</c:v>
                </c:pt>
                <c:pt idx="9">
                  <c:v>1.0200639671125742</c:v>
                </c:pt>
                <c:pt idx="10">
                  <c:v>1</c:v>
                </c:pt>
                <c:pt idx="11">
                  <c:v>0.71833015346113338</c:v>
                </c:pt>
                <c:pt idx="12">
                  <c:v>0.76955414424827262</c:v>
                </c:pt>
                <c:pt idx="13">
                  <c:v>0.82029094516716339</c:v>
                </c:pt>
                <c:pt idx="14">
                  <c:v>0.87052755610540622</c:v>
                </c:pt>
                <c:pt idx="15">
                  <c:v>0.92026768565353589</c:v>
                </c:pt>
                <c:pt idx="16">
                  <c:v>0.96952320562202687</c:v>
                </c:pt>
                <c:pt idx="17">
                  <c:v>1.0183098398269461</c:v>
                </c:pt>
                <c:pt idx="18">
                  <c:v>1.0666449017145101</c:v>
                </c:pt>
                <c:pt idx="19">
                  <c:v>1.1145460813836856</c:v>
                </c:pt>
                <c:pt idx="20">
                  <c:v>1.1620307936134864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F1-4D0B-856D-EE8A13F4A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43872"/>
        <c:axId val="220945408"/>
      </c:scatterChart>
      <c:valAx>
        <c:axId val="220943872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crossAx val="220945408"/>
        <c:crosses val="autoZero"/>
        <c:crossBetween val="midCat"/>
      </c:valAx>
      <c:valAx>
        <c:axId val="22094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943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Диаграмма</a:t>
            </a:r>
            <a:r>
              <a:rPr lang="ru-RU" baseline="0"/>
              <a:t> при шаге 0,1</a:t>
            </a:r>
          </a:p>
          <a:p>
            <a:pPr>
              <a:defRPr/>
            </a:pPr>
            <a:endParaRPr lang="ru-RU"/>
          </a:p>
        </c:rich>
      </c:tx>
      <c:layout>
        <c:manualLayout>
          <c:xMode val="edge"/>
          <c:yMode val="edge"/>
          <c:x val="0.33302142478536045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5662154971834122E-2"/>
          <c:y val="0.12281625535142725"/>
          <c:w val="0.81148854391017844"/>
          <c:h val="0.76930772365413191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'Задание 2'!$G$2:$G$42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  <c:pt idx="36">
                  <c:v>1.6</c:v>
                </c:pt>
                <c:pt idx="37">
                  <c:v>1.7</c:v>
                </c:pt>
                <c:pt idx="38">
                  <c:v>1.8</c:v>
                </c:pt>
                <c:pt idx="39">
                  <c:v>1.9</c:v>
                </c:pt>
                <c:pt idx="40">
                  <c:v>2</c:v>
                </c:pt>
              </c:numCache>
            </c:numRef>
          </c:xVal>
          <c:yVal>
            <c:numRef>
              <c:f>'Задание 2'!$H$2:$H$42</c:f>
              <c:numCache>
                <c:formatCode>General</c:formatCode>
                <c:ptCount val="41"/>
                <c:pt idx="0">
                  <c:v>2.858877085425009</c:v>
                </c:pt>
                <c:pt idx="1">
                  <c:v>2.7063843304384525</c:v>
                </c:pt>
                <c:pt idx="2">
                  <c:v>2.5557035805885091</c:v>
                </c:pt>
                <c:pt idx="3">
                  <c:v>2.4076131133781167</c:v>
                </c:pt>
                <c:pt idx="4">
                  <c:v>2.2629300943914781</c:v>
                </c:pt>
                <c:pt idx="5">
                  <c:v>2.1224994114721865</c:v>
                </c:pt>
                <c:pt idx="6">
                  <c:v>1.9871811265372039</c:v>
                </c:pt>
                <c:pt idx="7">
                  <c:v>1.857836274625815</c:v>
                </c:pt>
                <c:pt idx="8">
                  <c:v>1.7353106759970611</c:v>
                </c:pt>
                <c:pt idx="9">
                  <c:v>1.6204164407251389</c:v>
                </c:pt>
                <c:pt idx="10">
                  <c:v>1.5139110217335856</c:v>
                </c:pt>
                <c:pt idx="11">
                  <c:v>1.4164741270681425</c:v>
                </c:pt>
                <c:pt idx="12">
                  <c:v>1.3286836488981701</c:v>
                </c:pt>
                <c:pt idx="13">
                  <c:v>1.2509930341333322</c:v>
                </c:pt>
                <c:pt idx="14">
                  <c:v>1.1837140183500137</c:v>
                </c:pt>
                <c:pt idx="15">
                  <c:v>1.1270098282331302</c:v>
                </c:pt>
                <c:pt idx="16">
                  <c:v>1.0809039525663613</c:v>
                </c:pt>
                <c:pt idx="17">
                  <c:v>1.0453075181279616</c:v>
                </c:pt>
                <c:pt idx="18">
                  <c:v>1.0200639671125742</c:v>
                </c:pt>
                <c:pt idx="19">
                  <c:v>1.0050041238326441</c:v>
                </c:pt>
                <c:pt idx="20">
                  <c:v>1</c:v>
                </c:pt>
                <c:pt idx="21">
                  <c:v>0.69254815519704838</c:v>
                </c:pt>
                <c:pt idx="22">
                  <c:v>0.71833015346113338</c:v>
                </c:pt>
                <c:pt idx="23">
                  <c:v>0.74400119525491482</c:v>
                </c:pt>
                <c:pt idx="24">
                  <c:v>0.76955414424827262</c:v>
                </c:pt>
                <c:pt idx="25">
                  <c:v>0.79498479263099597</c:v>
                </c:pt>
                <c:pt idx="26">
                  <c:v>0.82029094516716339</c:v>
                </c:pt>
                <c:pt idx="27">
                  <c:v>0.84547180546470679</c:v>
                </c:pt>
                <c:pt idx="28">
                  <c:v>0.87052755610540622</c:v>
                </c:pt>
                <c:pt idx="29">
                  <c:v>0.89545906634786521</c:v>
                </c:pt>
                <c:pt idx="30">
                  <c:v>0.92026768565353589</c:v>
                </c:pt>
                <c:pt idx="31">
                  <c:v>0.9449550960651234</c:v>
                </c:pt>
                <c:pt idx="32">
                  <c:v>0.96952320562202687</c:v>
                </c:pt>
                <c:pt idx="33">
                  <c:v>0.99397407081132416</c:v>
                </c:pt>
                <c:pt idx="34">
                  <c:v>1.0183098398269461</c:v>
                </c:pt>
                <c:pt idx="35">
                  <c:v>1.0425327109084288</c:v>
                </c:pt>
                <c:pt idx="36">
                  <c:v>1.0666449017145101</c:v>
                </c:pt>
                <c:pt idx="37">
                  <c:v>1.0906486268397948</c:v>
                </c:pt>
                <c:pt idx="38">
                  <c:v>1.1145460813836856</c:v>
                </c:pt>
                <c:pt idx="39">
                  <c:v>1.1383394290445259</c:v>
                </c:pt>
                <c:pt idx="40">
                  <c:v>1.1620307936134864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31-4AFA-97DC-17418B6E3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908352"/>
        <c:axId val="221914240"/>
      </c:scatterChart>
      <c:valAx>
        <c:axId val="221908352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crossAx val="221914240"/>
        <c:crosses val="autoZero"/>
        <c:crossBetween val="midCat"/>
      </c:valAx>
      <c:valAx>
        <c:axId val="221914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908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Биоритмы</a:t>
            </a:r>
          </a:p>
        </c:rich>
      </c:tx>
      <c:layout>
        <c:manualLayout>
          <c:xMode val="edge"/>
          <c:yMode val="edge"/>
          <c:x val="0.44883214353936912"/>
          <c:y val="1.879085001857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6915355750988201E-2"/>
          <c:y val="9.9564661027016138E-2"/>
          <c:w val="0.9352702521074413"/>
          <c:h val="0.8095007298628247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Биоритмы!$A$12:$A$42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Биоритмы!$C$12:$C$42</c:f>
              <c:numCache>
                <c:formatCode>General</c:formatCode>
                <c:ptCount val="31"/>
                <c:pt idx="0">
                  <c:v>0.39840108984619604</c:v>
                </c:pt>
                <c:pt idx="1">
                  <c:v>0.13616664909635517</c:v>
                </c:pt>
                <c:pt idx="2">
                  <c:v>-0.13616664909598039</c:v>
                </c:pt>
                <c:pt idx="3">
                  <c:v>-0.39840108984626615</c:v>
                </c:pt>
                <c:pt idx="4">
                  <c:v>-0.63108794432595028</c:v>
                </c:pt>
                <c:pt idx="5">
                  <c:v>-0.81696989301053624</c:v>
                </c:pt>
                <c:pt idx="6">
                  <c:v>-0.94226092211882195</c:v>
                </c:pt>
                <c:pt idx="7">
                  <c:v>-0.9976687691905286</c:v>
                </c:pt>
                <c:pt idx="8">
                  <c:v>-0.97908408768234045</c:v>
                </c:pt>
                <c:pt idx="9">
                  <c:v>-0.88788521840248824</c:v>
                </c:pt>
                <c:pt idx="10">
                  <c:v>-0.73083596427808994</c:v>
                </c:pt>
                <c:pt idx="11">
                  <c:v>-0.51958395003552682</c:v>
                </c:pt>
                <c:pt idx="12">
                  <c:v>-0.26979677115728251</c:v>
                </c:pt>
                <c:pt idx="13">
                  <c:v>2.7437253857787169E-14</c:v>
                </c:pt>
                <c:pt idx="14">
                  <c:v>0.26979677115689749</c:v>
                </c:pt>
                <c:pt idx="15">
                  <c:v>0.51958395003537938</c:v>
                </c:pt>
                <c:pt idx="16">
                  <c:v>0.73083596427812736</c:v>
                </c:pt>
                <c:pt idx="17">
                  <c:v>0.88788521840240886</c:v>
                </c:pt>
                <c:pt idx="18">
                  <c:v>0.97908408768230537</c:v>
                </c:pt>
                <c:pt idx="19">
                  <c:v>0.99766876919055592</c:v>
                </c:pt>
                <c:pt idx="20">
                  <c:v>0.94226092211880352</c:v>
                </c:pt>
                <c:pt idx="21">
                  <c:v>0.8169698930105046</c:v>
                </c:pt>
                <c:pt idx="22">
                  <c:v>0.63108794432608406</c:v>
                </c:pt>
                <c:pt idx="23">
                  <c:v>0.39840108984621581</c:v>
                </c:pt>
                <c:pt idx="24">
                  <c:v>0.13616664909637652</c:v>
                </c:pt>
                <c:pt idx="25">
                  <c:v>-0.13616664909618428</c:v>
                </c:pt>
                <c:pt idx="26">
                  <c:v>-0.39840108984603784</c:v>
                </c:pt>
                <c:pt idx="27">
                  <c:v>-0.63108794432610993</c:v>
                </c:pt>
                <c:pt idx="28">
                  <c:v>-0.81696989301039269</c:v>
                </c:pt>
                <c:pt idx="29">
                  <c:v>-0.94226092211873858</c:v>
                </c:pt>
                <c:pt idx="30">
                  <c:v>-0.9976687691905427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6-4394-8A91-680B4D0CAE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Биоритмы!$A$12:$A$42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Биоритмы!$D$12:$D$42</c:f>
              <c:numCache>
                <c:formatCode>General</c:formatCode>
                <c:ptCount val="31"/>
                <c:pt idx="0">
                  <c:v>0.22252093395633821</c:v>
                </c:pt>
                <c:pt idx="1">
                  <c:v>0.43388373911757211</c:v>
                </c:pt>
                <c:pt idx="2">
                  <c:v>0.62348980185856095</c:v>
                </c:pt>
                <c:pt idx="3">
                  <c:v>0.78183148246802836</c:v>
                </c:pt>
                <c:pt idx="4">
                  <c:v>0.90096886790241426</c:v>
                </c:pt>
                <c:pt idx="5">
                  <c:v>0.97492791218181918</c:v>
                </c:pt>
                <c:pt idx="6">
                  <c:v>1</c:v>
                </c:pt>
                <c:pt idx="7">
                  <c:v>0.97492791218188257</c:v>
                </c:pt>
                <c:pt idx="8">
                  <c:v>0.90096886790243935</c:v>
                </c:pt>
                <c:pt idx="9">
                  <c:v>0.78183148246806444</c:v>
                </c:pt>
                <c:pt idx="10">
                  <c:v>0.62348980185878389</c:v>
                </c:pt>
                <c:pt idx="11">
                  <c:v>0.43388373911762423</c:v>
                </c:pt>
                <c:pt idx="12">
                  <c:v>0.22252093395639461</c:v>
                </c:pt>
                <c:pt idx="13">
                  <c:v>9.1149093481290855E-14</c:v>
                </c:pt>
                <c:pt idx="14">
                  <c:v>-0.22252093395621686</c:v>
                </c:pt>
                <c:pt idx="15">
                  <c:v>-0.43388373911766481</c:v>
                </c:pt>
                <c:pt idx="16">
                  <c:v>-0.62348980185864145</c:v>
                </c:pt>
                <c:pt idx="17">
                  <c:v>-0.78183148246809253</c:v>
                </c:pt>
                <c:pt idx="18">
                  <c:v>-0.9009688679023603</c:v>
                </c:pt>
                <c:pt idx="19">
                  <c:v>-0.97492791218179142</c:v>
                </c:pt>
                <c:pt idx="20">
                  <c:v>-1</c:v>
                </c:pt>
                <c:pt idx="21">
                  <c:v>-0.9749279121818597</c:v>
                </c:pt>
                <c:pt idx="22">
                  <c:v>-0.90096886790239472</c:v>
                </c:pt>
                <c:pt idx="23">
                  <c:v>-0.78183148246800027</c:v>
                </c:pt>
                <c:pt idx="24">
                  <c:v>-0.62348980185888125</c:v>
                </c:pt>
                <c:pt idx="25">
                  <c:v>-0.43388373911753153</c:v>
                </c:pt>
                <c:pt idx="26">
                  <c:v>-0.22252093395651595</c:v>
                </c:pt>
                <c:pt idx="27">
                  <c:v>1.175708835843281E-14</c:v>
                </c:pt>
                <c:pt idx="28">
                  <c:v>0.2225209339563172</c:v>
                </c:pt>
                <c:pt idx="29">
                  <c:v>0.43388373911734784</c:v>
                </c:pt>
                <c:pt idx="30">
                  <c:v>0.62348980185872183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6-4394-8A91-680B4D0CAE7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Биоритмы!$A$12:$A$42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Биоритмы!$E$12:$E$42</c:f>
              <c:numCache>
                <c:formatCode>General</c:formatCode>
                <c:ptCount val="31"/>
                <c:pt idx="0">
                  <c:v>-9.5056043304292459E-2</c:v>
                </c:pt>
                <c:pt idx="1">
                  <c:v>-0.28173255684148202</c:v>
                </c:pt>
                <c:pt idx="2">
                  <c:v>-0.45822652172720718</c:v>
                </c:pt>
                <c:pt idx="3">
                  <c:v>-0.61815898622056042</c:v>
                </c:pt>
                <c:pt idx="4">
                  <c:v>-0.75574957435418444</c:v>
                </c:pt>
                <c:pt idx="5">
                  <c:v>-0.86602540378446802</c:v>
                </c:pt>
                <c:pt idx="6">
                  <c:v>-0.94500081871466945</c:v>
                </c:pt>
                <c:pt idx="7">
                  <c:v>-0.98982144188092525</c:v>
                </c:pt>
                <c:pt idx="8">
                  <c:v>-0.99886733918301318</c:v>
                </c:pt>
                <c:pt idx="9">
                  <c:v>-0.9718115683235804</c:v>
                </c:pt>
                <c:pt idx="10">
                  <c:v>-0.90963199535451533</c:v>
                </c:pt>
                <c:pt idx="11">
                  <c:v>-0.81457595205036382</c:v>
                </c:pt>
                <c:pt idx="12">
                  <c:v>-0.69007901148218742</c:v>
                </c:pt>
                <c:pt idx="13">
                  <c:v>-0.54064081745554093</c:v>
                </c:pt>
                <c:pt idx="14">
                  <c:v>-0.37166245566052786</c:v>
                </c:pt>
                <c:pt idx="15">
                  <c:v>-0.1892512443604536</c:v>
                </c:pt>
                <c:pt idx="16">
                  <c:v>-9.9969078154460433E-14</c:v>
                </c:pt>
                <c:pt idx="17">
                  <c:v>0.18925124436048055</c:v>
                </c:pt>
                <c:pt idx="18">
                  <c:v>0.37166245566034223</c:v>
                </c:pt>
                <c:pt idx="19">
                  <c:v>0.54064081745556403</c:v>
                </c:pt>
                <c:pt idx="20">
                  <c:v>0.69007901148204276</c:v>
                </c:pt>
                <c:pt idx="21">
                  <c:v>0.8145759520502478</c:v>
                </c:pt>
                <c:pt idx="22">
                  <c:v>0.90963199535452677</c:v>
                </c:pt>
                <c:pt idx="23">
                  <c:v>0.97181156832353333</c:v>
                </c:pt>
                <c:pt idx="24">
                  <c:v>0.99886733918300363</c:v>
                </c:pt>
                <c:pt idx="25">
                  <c:v>0.98982144188092136</c:v>
                </c:pt>
                <c:pt idx="26">
                  <c:v>0.94500081871473485</c:v>
                </c:pt>
                <c:pt idx="27">
                  <c:v>0.86602540378445436</c:v>
                </c:pt>
                <c:pt idx="28">
                  <c:v>0.75574957435431533</c:v>
                </c:pt>
                <c:pt idx="29">
                  <c:v>0.61815898622071752</c:v>
                </c:pt>
                <c:pt idx="30">
                  <c:v>0.45822652172738487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F6-4394-8A91-680B4D0CA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562944"/>
        <c:axId val="222564736"/>
      </c:lineChart>
      <c:dateAx>
        <c:axId val="222562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2564736"/>
        <c:crosses val="autoZero"/>
        <c:auto val="1"/>
        <c:lblOffset val="100"/>
        <c:baseTimeUnit val="days"/>
      </c:dateAx>
      <c:valAx>
        <c:axId val="2225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256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175260</xdr:rowOff>
    </xdr:from>
    <xdr:to>
      <xdr:col>13</xdr:col>
      <xdr:colOff>205740</xdr:colOff>
      <xdr:row>23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4CDB5E-3F9F-459A-A8B9-320BB596A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503464</xdr:colOff>
      <xdr:row>2</xdr:row>
      <xdr:rowOff>42333</xdr:rowOff>
    </xdr:from>
    <xdr:to>
      <xdr:col>15</xdr:col>
      <xdr:colOff>603250</xdr:colOff>
      <xdr:row>19</xdr:row>
      <xdr:rowOff>84667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296335</xdr:colOff>
      <xdr:row>1</xdr:row>
      <xdr:rowOff>99483</xdr:rowOff>
    </xdr:from>
    <xdr:to>
      <xdr:col>28</xdr:col>
      <xdr:colOff>0</xdr:colOff>
      <xdr:row>20</xdr:row>
      <xdr:rowOff>21166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10584</xdr:colOff>
      <xdr:row>20</xdr:row>
      <xdr:rowOff>152400</xdr:rowOff>
    </xdr:from>
    <xdr:to>
      <xdr:col>21</xdr:col>
      <xdr:colOff>508000</xdr:colOff>
      <xdr:row>43</xdr:row>
      <xdr:rowOff>21168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201481</xdr:colOff>
      <xdr:row>4</xdr:row>
      <xdr:rowOff>156441</xdr:rowOff>
    </xdr:from>
    <xdr:to>
      <xdr:col>22</xdr:col>
      <xdr:colOff>118655</xdr:colOff>
      <xdr:row>29</xdr:row>
      <xdr:rowOff>124967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7FADDE7-2928-4A9E-A17B-D8D9D3B15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Normal="100" workbookViewId="0">
      <selection activeCell="J10" sqref="J10"/>
    </sheetView>
  </sheetViews>
  <sheetFormatPr defaultColWidth="9.109375" defaultRowHeight="18" x14ac:dyDescent="0.35"/>
  <cols>
    <col min="1" max="1" width="60.44140625" style="2" customWidth="1"/>
    <col min="2" max="2" width="14.33203125" style="2" customWidth="1"/>
    <col min="3" max="3" width="9.109375" style="2"/>
    <col min="4" max="4" width="15.33203125" style="2" customWidth="1"/>
    <col min="5" max="5" width="16.5546875" style="2" customWidth="1"/>
    <col min="6" max="6" width="19" style="2" customWidth="1"/>
    <col min="7" max="7" width="12.77734375" style="2" customWidth="1"/>
    <col min="8" max="16384" width="9.109375" style="2"/>
  </cols>
  <sheetData>
    <row r="1" spans="1:8" ht="18.600000000000001" customHeight="1" x14ac:dyDescent="0.35"/>
    <row r="2" spans="1:8" ht="16.2" customHeight="1" x14ac:dyDescent="0.35"/>
    <row r="3" spans="1:8" ht="61.8" customHeight="1" x14ac:dyDescent="0.35">
      <c r="A3" s="16" t="s">
        <v>27</v>
      </c>
      <c r="B3" s="17" t="s">
        <v>28</v>
      </c>
      <c r="C3" s="16" t="s">
        <v>29</v>
      </c>
      <c r="D3" s="17" t="s">
        <v>30</v>
      </c>
      <c r="E3" s="17" t="s">
        <v>31</v>
      </c>
      <c r="F3" s="17" t="s">
        <v>32</v>
      </c>
      <c r="G3" s="18" t="s">
        <v>43</v>
      </c>
    </row>
    <row r="4" spans="1:8" ht="18" customHeight="1" x14ac:dyDescent="0.35">
      <c r="A4" s="18" t="s">
        <v>33</v>
      </c>
      <c r="B4" s="19">
        <v>12556.4</v>
      </c>
      <c r="C4" s="19">
        <v>589.29999999999995</v>
      </c>
      <c r="D4" s="20">
        <f>B4-C4</f>
        <v>11967.1</v>
      </c>
      <c r="E4" s="20">
        <f>B4*G4</f>
        <v>37669.199999999997</v>
      </c>
      <c r="F4" s="20">
        <f>D4*G4</f>
        <v>35901.300000000003</v>
      </c>
      <c r="G4" s="20">
        <f>IF(B4&gt;500,3,2)</f>
        <v>3</v>
      </c>
    </row>
    <row r="5" spans="1:8" ht="24.75" customHeight="1" x14ac:dyDescent="0.35">
      <c r="A5" s="18" t="s">
        <v>34</v>
      </c>
      <c r="B5" s="19">
        <v>184</v>
      </c>
      <c r="C5" s="19">
        <v>51.2</v>
      </c>
      <c r="D5" s="20">
        <f t="shared" ref="D5:D13" si="0">B5-C5</f>
        <v>132.80000000000001</v>
      </c>
      <c r="E5" s="20">
        <f t="shared" ref="E5:E13" si="1">B5*G5</f>
        <v>368</v>
      </c>
      <c r="F5" s="20">
        <f t="shared" ref="F5:F13" si="2">D5*G5</f>
        <v>265.60000000000002</v>
      </c>
      <c r="G5" s="20">
        <f t="shared" ref="G5:G13" si="3">IF(B5&gt;500,3,2)</f>
        <v>2</v>
      </c>
    </row>
    <row r="6" spans="1:8" x14ac:dyDescent="0.35">
      <c r="A6" s="18" t="s">
        <v>35</v>
      </c>
      <c r="B6" s="19">
        <v>954.4</v>
      </c>
      <c r="C6" s="19">
        <v>235.1</v>
      </c>
      <c r="D6" s="20">
        <f t="shared" si="0"/>
        <v>719.3</v>
      </c>
      <c r="E6" s="20">
        <f t="shared" si="1"/>
        <v>2863.2</v>
      </c>
      <c r="F6" s="20">
        <f t="shared" si="2"/>
        <v>2157.8999999999996</v>
      </c>
      <c r="G6" s="20">
        <f t="shared" si="3"/>
        <v>3</v>
      </c>
    </row>
    <row r="7" spans="1:8" ht="18" customHeight="1" x14ac:dyDescent="0.35">
      <c r="A7" s="18" t="s">
        <v>36</v>
      </c>
      <c r="B7" s="19">
        <v>821.9</v>
      </c>
      <c r="C7" s="19">
        <v>218.9</v>
      </c>
      <c r="D7" s="20">
        <f t="shared" si="0"/>
        <v>603</v>
      </c>
      <c r="E7" s="20">
        <f t="shared" si="1"/>
        <v>2465.6999999999998</v>
      </c>
      <c r="F7" s="20">
        <f t="shared" si="2"/>
        <v>1809</v>
      </c>
      <c r="G7" s="20">
        <f t="shared" si="3"/>
        <v>3</v>
      </c>
    </row>
    <row r="8" spans="1:8" ht="24.75" customHeight="1" x14ac:dyDescent="0.35">
      <c r="A8" s="18" t="s">
        <v>37</v>
      </c>
      <c r="B8" s="19">
        <v>529.6</v>
      </c>
      <c r="C8" s="19">
        <v>124.7</v>
      </c>
      <c r="D8" s="20">
        <f t="shared" si="0"/>
        <v>404.90000000000003</v>
      </c>
      <c r="E8" s="20">
        <f t="shared" si="1"/>
        <v>1588.8000000000002</v>
      </c>
      <c r="F8" s="20">
        <f t="shared" si="2"/>
        <v>1214.7</v>
      </c>
      <c r="G8" s="20">
        <f t="shared" si="3"/>
        <v>3</v>
      </c>
    </row>
    <row r="9" spans="1:8" ht="18" customHeight="1" x14ac:dyDescent="0.35">
      <c r="A9" s="18" t="s">
        <v>38</v>
      </c>
      <c r="B9" s="19">
        <v>758.4</v>
      </c>
      <c r="C9" s="19">
        <v>171.1</v>
      </c>
      <c r="D9" s="20">
        <f t="shared" si="0"/>
        <v>587.29999999999995</v>
      </c>
      <c r="E9" s="20">
        <f t="shared" si="1"/>
        <v>2275.1999999999998</v>
      </c>
      <c r="F9" s="20">
        <f t="shared" si="2"/>
        <v>1761.8999999999999</v>
      </c>
      <c r="G9" s="20">
        <f t="shared" si="3"/>
        <v>3</v>
      </c>
      <c r="H9" s="3"/>
    </row>
    <row r="10" spans="1:8" ht="24.75" customHeight="1" x14ac:dyDescent="0.35">
      <c r="A10" s="18" t="s">
        <v>39</v>
      </c>
      <c r="B10" s="19">
        <v>580.20000000000005</v>
      </c>
      <c r="C10" s="19">
        <v>223.3</v>
      </c>
      <c r="D10" s="20">
        <f t="shared" si="0"/>
        <v>356.90000000000003</v>
      </c>
      <c r="E10" s="20">
        <f t="shared" si="1"/>
        <v>1740.6000000000001</v>
      </c>
      <c r="F10" s="20">
        <f t="shared" si="2"/>
        <v>1070.7</v>
      </c>
      <c r="G10" s="20">
        <f t="shared" si="3"/>
        <v>3</v>
      </c>
    </row>
    <row r="11" spans="1:8" ht="18" customHeight="1" x14ac:dyDescent="0.35">
      <c r="A11" s="18" t="s">
        <v>40</v>
      </c>
      <c r="B11" s="19">
        <v>443.9</v>
      </c>
      <c r="C11" s="19">
        <v>98.6</v>
      </c>
      <c r="D11" s="20">
        <f t="shared" si="0"/>
        <v>345.29999999999995</v>
      </c>
      <c r="E11" s="20">
        <f t="shared" si="1"/>
        <v>887.8</v>
      </c>
      <c r="F11" s="20">
        <f t="shared" si="2"/>
        <v>690.59999999999991</v>
      </c>
      <c r="G11" s="20">
        <f t="shared" si="3"/>
        <v>2</v>
      </c>
    </row>
    <row r="12" spans="1:8" ht="24.75" customHeight="1" x14ac:dyDescent="0.35">
      <c r="A12" s="18" t="s">
        <v>41</v>
      </c>
      <c r="B12" s="19">
        <v>579</v>
      </c>
      <c r="C12" s="19">
        <v>123.4</v>
      </c>
      <c r="D12" s="20">
        <f t="shared" si="0"/>
        <v>455.6</v>
      </c>
      <c r="E12" s="20">
        <f t="shared" si="1"/>
        <v>1737</v>
      </c>
      <c r="F12" s="20">
        <f t="shared" si="2"/>
        <v>1366.8000000000002</v>
      </c>
      <c r="G12" s="20">
        <f t="shared" si="3"/>
        <v>3</v>
      </c>
    </row>
    <row r="13" spans="1:8" ht="18" customHeight="1" x14ac:dyDescent="0.35">
      <c r="A13" s="18" t="s">
        <v>42</v>
      </c>
      <c r="B13" s="19">
        <v>322.8</v>
      </c>
      <c r="C13" s="19">
        <v>69.8</v>
      </c>
      <c r="D13" s="20">
        <f t="shared" si="0"/>
        <v>253</v>
      </c>
      <c r="E13" s="20">
        <f t="shared" si="1"/>
        <v>645.6</v>
      </c>
      <c r="F13" s="20">
        <f t="shared" si="2"/>
        <v>506</v>
      </c>
      <c r="G13" s="20">
        <f t="shared" si="3"/>
        <v>2</v>
      </c>
    </row>
    <row r="14" spans="1:8" ht="24.75" customHeight="1" x14ac:dyDescent="0.35">
      <c r="A14" s="18" t="s">
        <v>0</v>
      </c>
      <c r="B14" s="20">
        <f>SUM(B4:B13)</f>
        <v>17730.599999999999</v>
      </c>
      <c r="C14" s="20">
        <f>SUM(C4:C13)</f>
        <v>1905.3999999999999</v>
      </c>
      <c r="D14" s="20">
        <f>SUM(D4:D13)</f>
        <v>15825.199999999997</v>
      </c>
      <c r="E14" s="20">
        <f>SUM(E4:E13)</f>
        <v>52241.099999999991</v>
      </c>
      <c r="F14" s="20">
        <f>SUM(F4:F13)</f>
        <v>46744.5</v>
      </c>
    </row>
    <row r="15" spans="1:8" ht="18.600000000000001" thickBot="1" x14ac:dyDescent="0.4">
      <c r="A15" s="1"/>
    </row>
    <row r="16" spans="1:8" ht="18.600000000000001" thickBot="1" x14ac:dyDescent="0.4">
      <c r="A16" s="4" t="s">
        <v>4</v>
      </c>
    </row>
    <row r="17" spans="1:1" ht="18.600000000000001" thickBot="1" x14ac:dyDescent="0.4">
      <c r="A17" s="5" t="s">
        <v>1</v>
      </c>
    </row>
    <row r="18" spans="1:1" ht="18.600000000000001" thickBot="1" x14ac:dyDescent="0.4">
      <c r="A18" s="22" t="s">
        <v>2</v>
      </c>
    </row>
    <row r="19" spans="1:1" ht="18.600000000000001" thickBot="1" x14ac:dyDescent="0.4">
      <c r="A19" s="21" t="s">
        <v>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Q13" sqref="Q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zoomScale="65" zoomScaleNormal="65" workbookViewId="0">
      <selection activeCell="H38" sqref="H38"/>
    </sheetView>
  </sheetViews>
  <sheetFormatPr defaultRowHeight="14.4" x14ac:dyDescent="0.3"/>
  <cols>
    <col min="1" max="1" width="18.109375" customWidth="1"/>
    <col min="2" max="2" width="9.44140625" customWidth="1"/>
    <col min="4" max="4" width="16.109375" customWidth="1"/>
    <col min="6" max="6" width="11" customWidth="1"/>
    <col min="7" max="7" width="10.5546875" customWidth="1"/>
  </cols>
  <sheetData>
    <row r="1" spans="1:8" x14ac:dyDescent="0.3">
      <c r="A1" s="23" t="s">
        <v>5</v>
      </c>
      <c r="B1" s="24"/>
      <c r="D1" s="25" t="s">
        <v>6</v>
      </c>
      <c r="E1" s="25"/>
      <c r="G1" s="25" t="s">
        <v>7</v>
      </c>
      <c r="H1" s="25"/>
    </row>
    <row r="2" spans="1:8" x14ac:dyDescent="0.3">
      <c r="A2" s="13">
        <v>-2</v>
      </c>
      <c r="B2" s="13">
        <f>IF(A2&lt;=0,SQRT(1+2*A2^2-SIN(A2)^2),((2+A2)/((1+A2)^(1/3)+2)))</f>
        <v>2.858877085425009</v>
      </c>
      <c r="D2" s="10">
        <v>-2</v>
      </c>
      <c r="E2" s="15">
        <f>IF(D2&lt;=0,SQRT(1+2*D2^2-SIN(D2)^2),((2+D2)/((1+D2)^(1/3)+2)))</f>
        <v>2.858877085425009</v>
      </c>
      <c r="G2" s="13">
        <v>-2</v>
      </c>
      <c r="H2" s="15">
        <f>IF(G2&lt;=0,SQRT(1+2*G2^2-SIN(G2)^2),((2+G2)/((1+G2)^(1/3)+2)))</f>
        <v>2.858877085425009</v>
      </c>
    </row>
    <row r="3" spans="1:8" x14ac:dyDescent="0.3">
      <c r="A3" s="14">
        <v>-1.5</v>
      </c>
      <c r="B3" s="15">
        <f t="shared" ref="B3:B10" si="0">IF(A3&lt;=0,SQRT(1+2*A3^2-SIN(A3)^2),((2+A3)/((1+A3)^(1/3)+2)))</f>
        <v>2.1224994114721865</v>
      </c>
      <c r="D3" s="10">
        <v>-1.8</v>
      </c>
      <c r="E3" s="15">
        <f t="shared" ref="E3:E22" si="1">IF(D3&lt;=0,SQRT(1+2*D3^2-SIN(D3)^2),((2+D3)/((1+D3)^(1/3)+2)))</f>
        <v>2.5557035805885091</v>
      </c>
      <c r="G3" s="13">
        <v>-1.9</v>
      </c>
      <c r="H3" s="15">
        <f t="shared" ref="H3:H42" si="2">IF(G3&lt;=0,SQRT(1+2*G3^2-SIN(G3)^2),((2+G3)/((1+G3)^(1/3)+2)))</f>
        <v>2.7063843304384525</v>
      </c>
    </row>
    <row r="4" spans="1:8" x14ac:dyDescent="0.3">
      <c r="A4" s="13">
        <v>-1</v>
      </c>
      <c r="B4" s="15">
        <f t="shared" si="0"/>
        <v>1.5139110217335856</v>
      </c>
      <c r="D4" s="10">
        <v>-1.6</v>
      </c>
      <c r="E4" s="15">
        <f t="shared" si="1"/>
        <v>2.2629300943914781</v>
      </c>
      <c r="G4" s="13">
        <v>-1.8</v>
      </c>
      <c r="H4" s="15">
        <f t="shared" si="2"/>
        <v>2.5557035805885091</v>
      </c>
    </row>
    <row r="5" spans="1:8" x14ac:dyDescent="0.3">
      <c r="A5" s="14">
        <v>-0.5</v>
      </c>
      <c r="B5" s="15">
        <f t="shared" si="0"/>
        <v>1.1270098282331302</v>
      </c>
      <c r="D5" s="10">
        <v>-1.4</v>
      </c>
      <c r="E5" s="15">
        <f t="shared" si="1"/>
        <v>1.9871811265372039</v>
      </c>
      <c r="G5" s="13">
        <v>-1.7</v>
      </c>
      <c r="H5" s="15">
        <f t="shared" si="2"/>
        <v>2.4076131133781167</v>
      </c>
    </row>
    <row r="6" spans="1:8" x14ac:dyDescent="0.3">
      <c r="A6" s="13">
        <v>0</v>
      </c>
      <c r="B6" s="15">
        <f t="shared" si="0"/>
        <v>1</v>
      </c>
      <c r="D6" s="10">
        <v>-1.2</v>
      </c>
      <c r="E6" s="15">
        <f t="shared" si="1"/>
        <v>1.7353106759970611</v>
      </c>
      <c r="G6" s="13">
        <v>-1.6</v>
      </c>
      <c r="H6" s="15">
        <f t="shared" si="2"/>
        <v>2.2629300943914781</v>
      </c>
    </row>
    <row r="7" spans="1:8" x14ac:dyDescent="0.3">
      <c r="A7" s="14">
        <v>0.5</v>
      </c>
      <c r="B7" s="15">
        <f t="shared" si="0"/>
        <v>0.79498479263099597</v>
      </c>
      <c r="D7" s="10">
        <v>-1</v>
      </c>
      <c r="E7" s="15">
        <f t="shared" si="1"/>
        <v>1.5139110217335856</v>
      </c>
      <c r="G7" s="13">
        <v>-1.5</v>
      </c>
      <c r="H7" s="15">
        <f t="shared" si="2"/>
        <v>2.1224994114721865</v>
      </c>
    </row>
    <row r="8" spans="1:8" x14ac:dyDescent="0.3">
      <c r="A8" s="13">
        <v>1</v>
      </c>
      <c r="B8" s="15">
        <f t="shared" si="0"/>
        <v>0.92026768565353589</v>
      </c>
      <c r="D8" s="10">
        <v>-0.8</v>
      </c>
      <c r="E8" s="15">
        <f t="shared" si="1"/>
        <v>1.3286836488981701</v>
      </c>
      <c r="G8" s="13">
        <v>-1.4</v>
      </c>
      <c r="H8" s="15">
        <f t="shared" si="2"/>
        <v>1.9871811265372039</v>
      </c>
    </row>
    <row r="9" spans="1:8" x14ac:dyDescent="0.3">
      <c r="A9" s="14">
        <v>1.5</v>
      </c>
      <c r="B9" s="15">
        <f t="shared" si="0"/>
        <v>1.0425327109084288</v>
      </c>
      <c r="D9" s="10">
        <v>-0.6</v>
      </c>
      <c r="E9" s="15">
        <f t="shared" si="1"/>
        <v>1.1837140183500137</v>
      </c>
      <c r="G9" s="13">
        <v>-1.3</v>
      </c>
      <c r="H9" s="15">
        <f t="shared" si="2"/>
        <v>1.857836274625815</v>
      </c>
    </row>
    <row r="10" spans="1:8" x14ac:dyDescent="0.3">
      <c r="A10" s="13">
        <v>2</v>
      </c>
      <c r="B10" s="15">
        <f t="shared" si="0"/>
        <v>1.1620307936134864</v>
      </c>
      <c r="D10" s="10">
        <v>-0.4</v>
      </c>
      <c r="E10" s="15">
        <f t="shared" si="1"/>
        <v>1.0809039525663613</v>
      </c>
      <c r="G10" s="13">
        <v>-1.2</v>
      </c>
      <c r="H10" s="15">
        <f t="shared" si="2"/>
        <v>1.7353106759970611</v>
      </c>
    </row>
    <row r="11" spans="1:8" x14ac:dyDescent="0.3">
      <c r="D11" s="10">
        <v>-0.2</v>
      </c>
      <c r="E11" s="15">
        <f t="shared" si="1"/>
        <v>1.0200639671125742</v>
      </c>
      <c r="G11" s="13">
        <v>-1.1000000000000001</v>
      </c>
      <c r="H11" s="15">
        <f t="shared" si="2"/>
        <v>1.6204164407251389</v>
      </c>
    </row>
    <row r="12" spans="1:8" x14ac:dyDescent="0.3">
      <c r="D12" s="10">
        <v>0</v>
      </c>
      <c r="E12" s="15">
        <f t="shared" si="1"/>
        <v>1</v>
      </c>
      <c r="G12" s="13">
        <v>-1</v>
      </c>
      <c r="H12" s="15">
        <f t="shared" si="2"/>
        <v>1.5139110217335856</v>
      </c>
    </row>
    <row r="13" spans="1:8" x14ac:dyDescent="0.3">
      <c r="D13" s="10">
        <v>0.2</v>
      </c>
      <c r="E13" s="15">
        <f t="shared" si="1"/>
        <v>0.71833015346113338</v>
      </c>
      <c r="G13" s="13">
        <v>-0.9</v>
      </c>
      <c r="H13" s="15">
        <f t="shared" si="2"/>
        <v>1.4164741270681425</v>
      </c>
    </row>
    <row r="14" spans="1:8" x14ac:dyDescent="0.3">
      <c r="D14" s="10">
        <v>0.4</v>
      </c>
      <c r="E14" s="15">
        <f t="shared" si="1"/>
        <v>0.76955414424827262</v>
      </c>
      <c r="G14" s="13">
        <v>-0.8</v>
      </c>
      <c r="H14" s="15">
        <f t="shared" si="2"/>
        <v>1.3286836488981701</v>
      </c>
    </row>
    <row r="15" spans="1:8" x14ac:dyDescent="0.3">
      <c r="D15" s="10">
        <v>0.6</v>
      </c>
      <c r="E15" s="15">
        <f t="shared" si="1"/>
        <v>0.82029094516716339</v>
      </c>
      <c r="G15" s="13">
        <v>-0.7</v>
      </c>
      <c r="H15" s="15">
        <f t="shared" si="2"/>
        <v>1.2509930341333322</v>
      </c>
    </row>
    <row r="16" spans="1:8" x14ac:dyDescent="0.3">
      <c r="D16" s="10">
        <v>0.8</v>
      </c>
      <c r="E16" s="15">
        <f t="shared" si="1"/>
        <v>0.87052755610540622</v>
      </c>
      <c r="G16" s="13">
        <v>-0.6</v>
      </c>
      <c r="H16" s="15">
        <f t="shared" si="2"/>
        <v>1.1837140183500137</v>
      </c>
    </row>
    <row r="17" spans="4:8" x14ac:dyDescent="0.3">
      <c r="D17" s="10">
        <v>1</v>
      </c>
      <c r="E17" s="15">
        <f t="shared" si="1"/>
        <v>0.92026768565353589</v>
      </c>
      <c r="G17" s="13">
        <v>-0.5</v>
      </c>
      <c r="H17" s="15">
        <f t="shared" si="2"/>
        <v>1.1270098282331302</v>
      </c>
    </row>
    <row r="18" spans="4:8" x14ac:dyDescent="0.3">
      <c r="D18" s="10">
        <v>1.2</v>
      </c>
      <c r="E18" s="15">
        <f t="shared" si="1"/>
        <v>0.96952320562202687</v>
      </c>
      <c r="G18" s="13">
        <v>-0.4</v>
      </c>
      <c r="H18" s="15">
        <f t="shared" si="2"/>
        <v>1.0809039525663613</v>
      </c>
    </row>
    <row r="19" spans="4:8" x14ac:dyDescent="0.3">
      <c r="D19" s="10">
        <v>1.4</v>
      </c>
      <c r="E19" s="15">
        <f t="shared" si="1"/>
        <v>1.0183098398269461</v>
      </c>
      <c r="G19" s="13">
        <v>-0.3</v>
      </c>
      <c r="H19" s="15">
        <f t="shared" si="2"/>
        <v>1.0453075181279616</v>
      </c>
    </row>
    <row r="20" spans="4:8" x14ac:dyDescent="0.3">
      <c r="D20" s="10">
        <v>1.6</v>
      </c>
      <c r="E20" s="15">
        <f t="shared" si="1"/>
        <v>1.0666449017145101</v>
      </c>
      <c r="G20" s="13">
        <v>-0.2</v>
      </c>
      <c r="H20" s="15">
        <f t="shared" si="2"/>
        <v>1.0200639671125742</v>
      </c>
    </row>
    <row r="21" spans="4:8" x14ac:dyDescent="0.3">
      <c r="D21" s="10">
        <v>1.8</v>
      </c>
      <c r="E21" s="15">
        <f t="shared" si="1"/>
        <v>1.1145460813836856</v>
      </c>
      <c r="G21" s="13">
        <v>-0.1</v>
      </c>
      <c r="H21" s="15">
        <f t="shared" si="2"/>
        <v>1.0050041238326441</v>
      </c>
    </row>
    <row r="22" spans="4:8" x14ac:dyDescent="0.3">
      <c r="D22" s="10">
        <v>2</v>
      </c>
      <c r="E22" s="15">
        <f t="shared" si="1"/>
        <v>1.1620307936134864</v>
      </c>
      <c r="G22" s="13">
        <v>0</v>
      </c>
      <c r="H22" s="15">
        <f t="shared" si="2"/>
        <v>1</v>
      </c>
    </row>
    <row r="23" spans="4:8" x14ac:dyDescent="0.3">
      <c r="G23" s="13">
        <v>0.1</v>
      </c>
      <c r="H23" s="15">
        <f t="shared" si="2"/>
        <v>0.69254815519704838</v>
      </c>
    </row>
    <row r="24" spans="4:8" x14ac:dyDescent="0.3">
      <c r="G24" s="13">
        <v>0.2</v>
      </c>
      <c r="H24" s="15">
        <f t="shared" si="2"/>
        <v>0.71833015346113338</v>
      </c>
    </row>
    <row r="25" spans="4:8" x14ac:dyDescent="0.3">
      <c r="G25" s="13">
        <v>0.3</v>
      </c>
      <c r="H25" s="15">
        <f t="shared" si="2"/>
        <v>0.74400119525491482</v>
      </c>
    </row>
    <row r="26" spans="4:8" x14ac:dyDescent="0.3">
      <c r="G26" s="13">
        <v>0.4</v>
      </c>
      <c r="H26" s="15">
        <f t="shared" si="2"/>
        <v>0.76955414424827262</v>
      </c>
    </row>
    <row r="27" spans="4:8" x14ac:dyDescent="0.3">
      <c r="G27" s="13">
        <v>0.5</v>
      </c>
      <c r="H27" s="15">
        <f t="shared" si="2"/>
        <v>0.79498479263099597</v>
      </c>
    </row>
    <row r="28" spans="4:8" x14ac:dyDescent="0.3">
      <c r="G28" s="13">
        <v>0.6</v>
      </c>
      <c r="H28" s="15">
        <f t="shared" si="2"/>
        <v>0.82029094516716339</v>
      </c>
    </row>
    <row r="29" spans="4:8" x14ac:dyDescent="0.3">
      <c r="G29" s="13">
        <v>0.7</v>
      </c>
      <c r="H29" s="15">
        <f t="shared" si="2"/>
        <v>0.84547180546470679</v>
      </c>
    </row>
    <row r="30" spans="4:8" x14ac:dyDescent="0.3">
      <c r="G30" s="13">
        <v>0.8</v>
      </c>
      <c r="H30" s="15">
        <f t="shared" si="2"/>
        <v>0.87052755610540622</v>
      </c>
    </row>
    <row r="31" spans="4:8" x14ac:dyDescent="0.3">
      <c r="G31" s="13">
        <v>0.9</v>
      </c>
      <c r="H31" s="15">
        <f t="shared" si="2"/>
        <v>0.89545906634786521</v>
      </c>
    </row>
    <row r="32" spans="4:8" x14ac:dyDescent="0.3">
      <c r="G32" s="13">
        <v>1</v>
      </c>
      <c r="H32" s="15">
        <f t="shared" si="2"/>
        <v>0.92026768565353589</v>
      </c>
    </row>
    <row r="33" spans="7:8" x14ac:dyDescent="0.3">
      <c r="G33" s="13">
        <v>1.1000000000000001</v>
      </c>
      <c r="H33" s="15">
        <f t="shared" si="2"/>
        <v>0.9449550960651234</v>
      </c>
    </row>
    <row r="34" spans="7:8" x14ac:dyDescent="0.3">
      <c r="G34" s="13">
        <v>1.2</v>
      </c>
      <c r="H34" s="15">
        <f t="shared" si="2"/>
        <v>0.96952320562202687</v>
      </c>
    </row>
    <row r="35" spans="7:8" x14ac:dyDescent="0.3">
      <c r="G35" s="13">
        <v>1.3</v>
      </c>
      <c r="H35" s="15">
        <f t="shared" si="2"/>
        <v>0.99397407081132416</v>
      </c>
    </row>
    <row r="36" spans="7:8" x14ac:dyDescent="0.3">
      <c r="G36" s="13">
        <v>1.4</v>
      </c>
      <c r="H36" s="15">
        <f t="shared" si="2"/>
        <v>1.0183098398269461</v>
      </c>
    </row>
    <row r="37" spans="7:8" x14ac:dyDescent="0.3">
      <c r="G37" s="13">
        <v>1.5</v>
      </c>
      <c r="H37" s="15">
        <f t="shared" si="2"/>
        <v>1.0425327109084288</v>
      </c>
    </row>
    <row r="38" spans="7:8" x14ac:dyDescent="0.3">
      <c r="G38" s="13">
        <v>1.6</v>
      </c>
      <c r="H38" s="15">
        <f t="shared" si="2"/>
        <v>1.0666449017145101</v>
      </c>
    </row>
    <row r="39" spans="7:8" x14ac:dyDescent="0.3">
      <c r="G39" s="13">
        <v>1.7</v>
      </c>
      <c r="H39" s="15">
        <f t="shared" si="2"/>
        <v>1.0906486268397948</v>
      </c>
    </row>
    <row r="40" spans="7:8" x14ac:dyDescent="0.3">
      <c r="G40" s="13">
        <v>1.8</v>
      </c>
      <c r="H40" s="15">
        <f t="shared" si="2"/>
        <v>1.1145460813836856</v>
      </c>
    </row>
    <row r="41" spans="7:8" x14ac:dyDescent="0.3">
      <c r="G41" s="13">
        <v>1.9</v>
      </c>
      <c r="H41" s="15">
        <f t="shared" si="2"/>
        <v>1.1383394290445259</v>
      </c>
    </row>
    <row r="42" spans="7:8" x14ac:dyDescent="0.3">
      <c r="G42" s="13">
        <v>2</v>
      </c>
      <c r="H42" s="15">
        <f t="shared" si="2"/>
        <v>1.1620307936134864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tabSelected="1" zoomScale="66" zoomScaleNormal="66" workbookViewId="0">
      <selection activeCell="P36" sqref="P36"/>
    </sheetView>
  </sheetViews>
  <sheetFormatPr defaultRowHeight="14.4" x14ac:dyDescent="0.3"/>
  <cols>
    <col min="1" max="1" width="37.88671875" customWidth="1"/>
    <col min="2" max="2" width="20.6640625" customWidth="1"/>
    <col min="3" max="3" width="15.44140625" customWidth="1"/>
    <col min="4" max="4" width="17.44140625" customWidth="1"/>
    <col min="5" max="5" width="21.33203125" customWidth="1"/>
    <col min="6" max="6" width="12.33203125" customWidth="1"/>
    <col min="8" max="8" width="10" customWidth="1"/>
  </cols>
  <sheetData>
    <row r="1" spans="1:8" x14ac:dyDescent="0.3">
      <c r="A1" s="11" t="s">
        <v>8</v>
      </c>
      <c r="B1" s="11" t="s">
        <v>26</v>
      </c>
      <c r="C1" s="12"/>
      <c r="D1" s="12"/>
      <c r="E1" s="26" t="s">
        <v>9</v>
      </c>
      <c r="F1" s="26"/>
    </row>
    <row r="2" spans="1:8" x14ac:dyDescent="0.3">
      <c r="A2" s="6" t="s">
        <v>10</v>
      </c>
      <c r="B2" s="7">
        <v>38878</v>
      </c>
      <c r="C2" s="8"/>
      <c r="E2" s="6" t="s">
        <v>11</v>
      </c>
      <c r="F2" s="6">
        <v>23</v>
      </c>
    </row>
    <row r="3" spans="1:8" x14ac:dyDescent="0.3">
      <c r="A3" s="6" t="s">
        <v>12</v>
      </c>
      <c r="B3" s="7">
        <v>45627</v>
      </c>
      <c r="C3" s="8"/>
      <c r="E3" s="6" t="s">
        <v>13</v>
      </c>
      <c r="F3" s="6">
        <v>28</v>
      </c>
    </row>
    <row r="4" spans="1:8" x14ac:dyDescent="0.3">
      <c r="A4" s="6" t="s">
        <v>14</v>
      </c>
      <c r="B4" s="7">
        <f>B3+30</f>
        <v>45657</v>
      </c>
      <c r="E4" s="6" t="s">
        <v>15</v>
      </c>
      <c r="F4" s="6">
        <v>33</v>
      </c>
    </row>
    <row r="5" spans="1:8" x14ac:dyDescent="0.3">
      <c r="A5" s="6" t="s">
        <v>16</v>
      </c>
      <c r="B5" s="6">
        <f>B3 - B2</f>
        <v>6749</v>
      </c>
    </row>
    <row r="6" spans="1:8" x14ac:dyDescent="0.3">
      <c r="A6" s="6" t="s">
        <v>17</v>
      </c>
      <c r="B6" s="9">
        <f>YEAR(B3)-YEAR(B2)</f>
        <v>18</v>
      </c>
    </row>
    <row r="9" spans="1:8" x14ac:dyDescent="0.3">
      <c r="A9" s="27" t="s">
        <v>18</v>
      </c>
      <c r="B9" s="27"/>
      <c r="C9" s="27"/>
      <c r="D9" s="27"/>
      <c r="E9" s="27"/>
      <c r="F9" s="27"/>
      <c r="G9" s="27"/>
      <c r="H9" s="27"/>
    </row>
    <row r="10" spans="1:8" x14ac:dyDescent="0.3">
      <c r="A10" s="26" t="s">
        <v>19</v>
      </c>
      <c r="B10" s="26" t="s">
        <v>20</v>
      </c>
      <c r="C10" s="26" t="s">
        <v>21</v>
      </c>
      <c r="D10" s="26"/>
      <c r="E10" s="26"/>
      <c r="F10" s="27" t="s">
        <v>22</v>
      </c>
      <c r="G10" s="27"/>
      <c r="H10" s="27"/>
    </row>
    <row r="11" spans="1:8" x14ac:dyDescent="0.3">
      <c r="A11" s="26"/>
      <c r="B11" s="26"/>
      <c r="C11" s="11" t="s">
        <v>11</v>
      </c>
      <c r="D11" s="11" t="s">
        <v>13</v>
      </c>
      <c r="E11" s="11" t="s">
        <v>15</v>
      </c>
      <c r="F11" s="11" t="s">
        <v>23</v>
      </c>
      <c r="G11" s="11" t="s">
        <v>24</v>
      </c>
      <c r="H11" s="11" t="s">
        <v>25</v>
      </c>
    </row>
    <row r="12" spans="1:8" x14ac:dyDescent="0.3">
      <c r="A12" s="7">
        <f>B$3</f>
        <v>45627</v>
      </c>
      <c r="B12" s="6">
        <f>B$5</f>
        <v>6749</v>
      </c>
      <c r="C12" s="6">
        <f>SIN(2*PI()*B12/$F$2)</f>
        <v>0.39840108984619604</v>
      </c>
      <c r="D12" s="6">
        <f>SIN(2*PI()*B12/$F$3)</f>
        <v>0.22252093395633821</v>
      </c>
      <c r="E12" s="6">
        <f>SIN(2*PI()*B12/$F$4)</f>
        <v>-9.5056043304292459E-2</v>
      </c>
      <c r="F12" s="10" t="str">
        <f>IF(AND(TRUNC($C12,1)=TRUNC(D12,1),TRUNC($C12,1)=TRUNC($E12,1),TRUNC($E12,1)=TRUNC($D12,1),$C12&gt;0),"+!!!",IF(AND(TRUNC($C12,1)=TRUNC(D12,1),TRUNC($C12,1)=TRUNC($E12,1),TRUNC($E12,1)=TRUNC($D12,1),$C12&gt;0),"-!!!",IF(AND($C12&gt;0,$D12&gt;0),"*+",IF(AND($C12&gt;0,$E12&gt;0),"*+",IF(AND($C12&lt;0,$D12&lt;0),"*-",IF(AND($C12&lt;0,$E12&lt;0),"*-",IF($C12&gt;0,"+","-")))))))</f>
        <v>*+</v>
      </c>
      <c r="G12" s="10" t="str">
        <f>IF(AND(TRUNC($C12,1)=TRUNC(D12,1),TRUNC($C12,1)=TRUNC($E12,1),TRUNC($E12,1)=TRUNC($D12,1),$C12&gt;0),"+!!!",IF(AND(TRUNC($C12,1)=TRUNC(D12,1),TRUNC($C12,1)=TRUNC($E12,1),TRUNC($E12,1)=TRUNC($D12,1),$C12&gt;0),"-!!!",IF(AND($C12&gt;0,$D12&gt;0),"*+",IF(AND($D12&gt;0,$E12&gt;0),"*+",IF(AND($C12&lt;0,$D12&lt;0),"*-",IF(AND($D12&lt;0,$E12&lt;0),"*-",IF($D12&gt;0,"+","-")))))))</f>
        <v>*+</v>
      </c>
      <c r="H12" s="10" t="str">
        <f>IF(AND(TRUNC($C12,1)=TRUNC(D12,1),TRUNC($C12,1)=TRUNC($E12,1),TRUNC($E12,1)=TRUNC($D12,1),$C12&gt;0),"+!!!",IF(AND(TRUNC($C12,1)=TRUNC(D12,1),TRUNC($C12,1)=TRUNC($E12,1),TRUNC($E12,1)=TRUNC($D12,1),$C12&gt;0),"-!!!",IF(AND($D12&gt;0,$E12&gt;0),"*+",IF(AND($C12&gt;0,$E12&gt;0),"*+",IF(AND($C12&lt;0,$E12&lt;0),"*-",IF(AND($D12&lt;0,$E12&lt;0),"*-",IF(E12&gt;0,"+","-")))))))</f>
        <v>-</v>
      </c>
    </row>
    <row r="13" spans="1:8" x14ac:dyDescent="0.3">
      <c r="A13" s="7">
        <f>A12+1</f>
        <v>45628</v>
      </c>
      <c r="B13" s="6">
        <f>B12+1</f>
        <v>6750</v>
      </c>
      <c r="C13" s="6">
        <f>SIN(2*PI()*B13/$F$2)</f>
        <v>0.13616664909635517</v>
      </c>
      <c r="D13" s="6">
        <f t="shared" ref="D13:D42" si="0">SIN(2*PI()*B13/$F$3)</f>
        <v>0.43388373911757211</v>
      </c>
      <c r="E13" s="6">
        <f t="shared" ref="E13:E42" si="1">SIN(2*PI()*B13/$F$4)</f>
        <v>-0.28173255684148202</v>
      </c>
      <c r="F13" s="10" t="str">
        <f t="shared" ref="F13:F42" si="2">IF(AND(TRUNC($C13,1)=TRUNC(D13,1),TRUNC($C13,1)=TRUNC($E13,1),TRUNC($E13,1)=TRUNC($D13,1),$C13&gt;0),"+!!!",IF(AND(TRUNC($C13,1)=TRUNC(D13,1),TRUNC($C13,1)=TRUNC($E13,1),TRUNC($E13,1)=TRUNC($D13,1),$C13&gt;0),"-!!!",IF(AND($C13&gt;0,$D13&gt;0),"*+",IF(AND($C13&gt;0,$E13&gt;0),"*+",IF(AND($C13&lt;0,$D13&lt;0),"*-",IF(AND($C13&lt;0,$E13&lt;0),"*-",IF($C13&gt;0,"+","-")))))))</f>
        <v>*+</v>
      </c>
      <c r="G13" s="10" t="str">
        <f t="shared" ref="G13:G42" si="3">IF(AND(TRUNC($C13,1)=TRUNC(D13,1),TRUNC($C13,1)=TRUNC($E13,1),TRUNC($E13,1)=TRUNC($D13,1),$C13&gt;0),"+!!!",IF(AND(TRUNC($C13,1)=TRUNC(D13,1),TRUNC($C13,1)=TRUNC($E13,1),TRUNC($E13,1)=TRUNC($D13,1),$C13&gt;0),"-!!!",IF(AND($C13&gt;0,$D13&gt;0),"*+",IF(AND($D13&gt;0,$E13&gt;0),"*+",IF(AND($C13&lt;0,$D13&lt;0),"*-",IF(AND($D13&lt;0,$E13&lt;0),"*-",IF($D13&gt;0,"+","-")))))))</f>
        <v>*+</v>
      </c>
      <c r="H13" s="10" t="str">
        <f t="shared" ref="H13:H42" si="4">IF(AND(TRUNC($C13,1)=TRUNC(D13,1),TRUNC($C13,1)=TRUNC($E13,1),TRUNC($E13,1)=TRUNC($D13,1),$C13&gt;0),"+!!!",IF(AND(TRUNC($C13,1)=TRUNC(D13,1),TRUNC($C13,1)=TRUNC($E13,1),TRUNC($E13,1)=TRUNC($D13,1),$C13&gt;0),"-!!!",IF(AND($D13&gt;0,$E13&gt;0),"*+",IF(AND($C13&gt;0,$E13&gt;0),"*+",IF(AND($C13&lt;0,$E13&lt;0),"*-",IF(AND($D13&lt;0,$E13&lt;0),"*-",IF(E13&gt;0,"+","-")))))))</f>
        <v>-</v>
      </c>
    </row>
    <row r="14" spans="1:8" x14ac:dyDescent="0.3">
      <c r="A14" s="7">
        <f t="shared" ref="A14:B42" si="5">A13+1</f>
        <v>45629</v>
      </c>
      <c r="B14" s="6">
        <f t="shared" si="5"/>
        <v>6751</v>
      </c>
      <c r="C14" s="6">
        <f t="shared" ref="C14:C42" si="6">SIN(2*PI()*B14/$F$2)</f>
        <v>-0.13616664909598039</v>
      </c>
      <c r="D14" s="6">
        <f t="shared" si="0"/>
        <v>0.62348980185856095</v>
      </c>
      <c r="E14" s="6">
        <f t="shared" si="1"/>
        <v>-0.45822652172720718</v>
      </c>
      <c r="F14" s="10" t="str">
        <f t="shared" si="2"/>
        <v>*-</v>
      </c>
      <c r="G14" s="10" t="str">
        <f t="shared" si="3"/>
        <v>+</v>
      </c>
      <c r="H14" s="10" t="str">
        <f t="shared" si="4"/>
        <v>*-</v>
      </c>
    </row>
    <row r="15" spans="1:8" x14ac:dyDescent="0.3">
      <c r="A15" s="7">
        <f t="shared" si="5"/>
        <v>45630</v>
      </c>
      <c r="B15" s="6">
        <f t="shared" si="5"/>
        <v>6752</v>
      </c>
      <c r="C15" s="6">
        <f t="shared" si="6"/>
        <v>-0.39840108984626615</v>
      </c>
      <c r="D15" s="6">
        <f t="shared" si="0"/>
        <v>0.78183148246802836</v>
      </c>
      <c r="E15" s="6">
        <f t="shared" si="1"/>
        <v>-0.61815898622056042</v>
      </c>
      <c r="F15" s="10" t="str">
        <f t="shared" si="2"/>
        <v>*-</v>
      </c>
      <c r="G15" s="10" t="str">
        <f t="shared" si="3"/>
        <v>+</v>
      </c>
      <c r="H15" s="10" t="str">
        <f t="shared" si="4"/>
        <v>*-</v>
      </c>
    </row>
    <row r="16" spans="1:8" x14ac:dyDescent="0.3">
      <c r="A16" s="7">
        <f t="shared" si="5"/>
        <v>45631</v>
      </c>
      <c r="B16" s="6">
        <f t="shared" si="5"/>
        <v>6753</v>
      </c>
      <c r="C16" s="6">
        <f t="shared" si="6"/>
        <v>-0.63108794432595028</v>
      </c>
      <c r="D16" s="6">
        <f t="shared" si="0"/>
        <v>0.90096886790241426</v>
      </c>
      <c r="E16" s="6">
        <f t="shared" si="1"/>
        <v>-0.75574957435418444</v>
      </c>
      <c r="F16" s="10" t="str">
        <f t="shared" si="2"/>
        <v>*-</v>
      </c>
      <c r="G16" s="10" t="str">
        <f t="shared" si="3"/>
        <v>+</v>
      </c>
      <c r="H16" s="10" t="str">
        <f t="shared" si="4"/>
        <v>*-</v>
      </c>
    </row>
    <row r="17" spans="1:8" x14ac:dyDescent="0.3">
      <c r="A17" s="7">
        <f t="shared" si="5"/>
        <v>45632</v>
      </c>
      <c r="B17" s="6">
        <f t="shared" si="5"/>
        <v>6754</v>
      </c>
      <c r="C17" s="6">
        <f t="shared" si="6"/>
        <v>-0.81696989301053624</v>
      </c>
      <c r="D17" s="6">
        <f t="shared" si="0"/>
        <v>0.97492791218181918</v>
      </c>
      <c r="E17" s="6">
        <f t="shared" si="1"/>
        <v>-0.86602540378446802</v>
      </c>
      <c r="F17" s="10" t="str">
        <f t="shared" si="2"/>
        <v>*-</v>
      </c>
      <c r="G17" s="10" t="str">
        <f t="shared" si="3"/>
        <v>+</v>
      </c>
      <c r="H17" s="10" t="str">
        <f t="shared" si="4"/>
        <v>*-</v>
      </c>
    </row>
    <row r="18" spans="1:8" x14ac:dyDescent="0.3">
      <c r="A18" s="7">
        <f t="shared" si="5"/>
        <v>45633</v>
      </c>
      <c r="B18" s="6">
        <f t="shared" si="5"/>
        <v>6755</v>
      </c>
      <c r="C18" s="6">
        <f t="shared" si="6"/>
        <v>-0.94226092211882195</v>
      </c>
      <c r="D18" s="6">
        <f t="shared" si="0"/>
        <v>1</v>
      </c>
      <c r="E18" s="6">
        <f t="shared" si="1"/>
        <v>-0.94500081871466945</v>
      </c>
      <c r="F18" s="10" t="str">
        <f t="shared" si="2"/>
        <v>*-</v>
      </c>
      <c r="G18" s="10" t="str">
        <f t="shared" si="3"/>
        <v>+</v>
      </c>
      <c r="H18" s="10" t="str">
        <f t="shared" si="4"/>
        <v>*-</v>
      </c>
    </row>
    <row r="19" spans="1:8" x14ac:dyDescent="0.3">
      <c r="A19" s="7">
        <f t="shared" si="5"/>
        <v>45634</v>
      </c>
      <c r="B19" s="6">
        <f t="shared" si="5"/>
        <v>6756</v>
      </c>
      <c r="C19" s="6">
        <f t="shared" si="6"/>
        <v>-0.9976687691905286</v>
      </c>
      <c r="D19" s="6">
        <f t="shared" si="0"/>
        <v>0.97492791218188257</v>
      </c>
      <c r="E19" s="6">
        <f t="shared" si="1"/>
        <v>-0.98982144188092525</v>
      </c>
      <c r="F19" s="10" t="str">
        <f t="shared" si="2"/>
        <v>*-</v>
      </c>
      <c r="G19" s="10" t="str">
        <f t="shared" si="3"/>
        <v>+</v>
      </c>
      <c r="H19" s="10" t="str">
        <f t="shared" si="4"/>
        <v>*-</v>
      </c>
    </row>
    <row r="20" spans="1:8" x14ac:dyDescent="0.3">
      <c r="A20" s="7">
        <f t="shared" si="5"/>
        <v>45635</v>
      </c>
      <c r="B20" s="6">
        <f t="shared" si="5"/>
        <v>6757</v>
      </c>
      <c r="C20" s="6">
        <f t="shared" si="6"/>
        <v>-0.97908408768234045</v>
      </c>
      <c r="D20" s="6">
        <f t="shared" si="0"/>
        <v>0.90096886790243935</v>
      </c>
      <c r="E20" s="6">
        <f t="shared" si="1"/>
        <v>-0.99886733918301318</v>
      </c>
      <c r="F20" s="10" t="str">
        <f t="shared" si="2"/>
        <v>*-</v>
      </c>
      <c r="G20" s="10" t="str">
        <f t="shared" si="3"/>
        <v>+</v>
      </c>
      <c r="H20" s="10" t="str">
        <f t="shared" si="4"/>
        <v>*-</v>
      </c>
    </row>
    <row r="21" spans="1:8" x14ac:dyDescent="0.3">
      <c r="A21" s="7">
        <f t="shared" si="5"/>
        <v>45636</v>
      </c>
      <c r="B21" s="6">
        <f t="shared" si="5"/>
        <v>6758</v>
      </c>
      <c r="C21" s="6">
        <f t="shared" si="6"/>
        <v>-0.88788521840248824</v>
      </c>
      <c r="D21" s="6">
        <f t="shared" si="0"/>
        <v>0.78183148246806444</v>
      </c>
      <c r="E21" s="6">
        <f t="shared" si="1"/>
        <v>-0.9718115683235804</v>
      </c>
      <c r="F21" s="10" t="str">
        <f t="shared" si="2"/>
        <v>*-</v>
      </c>
      <c r="G21" s="10" t="str">
        <f t="shared" si="3"/>
        <v>+</v>
      </c>
      <c r="H21" s="10" t="str">
        <f t="shared" si="4"/>
        <v>*-</v>
      </c>
    </row>
    <row r="22" spans="1:8" x14ac:dyDescent="0.3">
      <c r="A22" s="7">
        <f t="shared" si="5"/>
        <v>45637</v>
      </c>
      <c r="B22" s="6">
        <f t="shared" si="5"/>
        <v>6759</v>
      </c>
      <c r="C22" s="6">
        <f t="shared" si="6"/>
        <v>-0.73083596427808994</v>
      </c>
      <c r="D22" s="6">
        <f t="shared" si="0"/>
        <v>0.62348980185878389</v>
      </c>
      <c r="E22" s="6">
        <f t="shared" si="1"/>
        <v>-0.90963199535451533</v>
      </c>
      <c r="F22" s="10" t="str">
        <f t="shared" si="2"/>
        <v>*-</v>
      </c>
      <c r="G22" s="10" t="str">
        <f t="shared" si="3"/>
        <v>+</v>
      </c>
      <c r="H22" s="10" t="str">
        <f t="shared" si="4"/>
        <v>*-</v>
      </c>
    </row>
    <row r="23" spans="1:8" x14ac:dyDescent="0.3">
      <c r="A23" s="7">
        <f t="shared" si="5"/>
        <v>45638</v>
      </c>
      <c r="B23" s="6">
        <f t="shared" si="5"/>
        <v>6760</v>
      </c>
      <c r="C23" s="6">
        <f t="shared" si="6"/>
        <v>-0.51958395003552682</v>
      </c>
      <c r="D23" s="6">
        <f t="shared" si="0"/>
        <v>0.43388373911762423</v>
      </c>
      <c r="E23" s="6">
        <f t="shared" si="1"/>
        <v>-0.81457595205036382</v>
      </c>
      <c r="F23" s="10" t="str">
        <f t="shared" si="2"/>
        <v>*-</v>
      </c>
      <c r="G23" s="10" t="str">
        <f t="shared" si="3"/>
        <v>+</v>
      </c>
      <c r="H23" s="10" t="str">
        <f t="shared" si="4"/>
        <v>*-</v>
      </c>
    </row>
    <row r="24" spans="1:8" x14ac:dyDescent="0.3">
      <c r="A24" s="7">
        <f t="shared" si="5"/>
        <v>45639</v>
      </c>
      <c r="B24" s="6">
        <f t="shared" si="5"/>
        <v>6761</v>
      </c>
      <c r="C24" s="6">
        <f t="shared" si="6"/>
        <v>-0.26979677115728251</v>
      </c>
      <c r="D24" s="6">
        <f t="shared" si="0"/>
        <v>0.22252093395639461</v>
      </c>
      <c r="E24" s="6">
        <f t="shared" si="1"/>
        <v>-0.69007901148218742</v>
      </c>
      <c r="F24" s="10" t="str">
        <f t="shared" si="2"/>
        <v>*-</v>
      </c>
      <c r="G24" s="10" t="str">
        <f t="shared" si="3"/>
        <v>+</v>
      </c>
      <c r="H24" s="10" t="str">
        <f t="shared" si="4"/>
        <v>*-</v>
      </c>
    </row>
    <row r="25" spans="1:8" x14ac:dyDescent="0.3">
      <c r="A25" s="7">
        <f t="shared" si="5"/>
        <v>45640</v>
      </c>
      <c r="B25" s="6">
        <f t="shared" si="5"/>
        <v>6762</v>
      </c>
      <c r="C25" s="6">
        <f t="shared" si="6"/>
        <v>2.7437253857787169E-14</v>
      </c>
      <c r="D25" s="6">
        <f t="shared" si="0"/>
        <v>9.1149093481290855E-14</v>
      </c>
      <c r="E25" s="6">
        <f t="shared" si="1"/>
        <v>-0.54064081745554093</v>
      </c>
      <c r="F25" s="10" t="str">
        <f t="shared" si="2"/>
        <v>*+</v>
      </c>
      <c r="G25" s="10" t="str">
        <f t="shared" si="3"/>
        <v>*+</v>
      </c>
      <c r="H25" s="10" t="str">
        <f t="shared" si="4"/>
        <v>-</v>
      </c>
    </row>
    <row r="26" spans="1:8" x14ac:dyDescent="0.3">
      <c r="A26" s="7">
        <f t="shared" si="5"/>
        <v>45641</v>
      </c>
      <c r="B26" s="6">
        <f t="shared" si="5"/>
        <v>6763</v>
      </c>
      <c r="C26" s="6">
        <f t="shared" si="6"/>
        <v>0.26979677115689749</v>
      </c>
      <c r="D26" s="6">
        <f t="shared" si="0"/>
        <v>-0.22252093395621686</v>
      </c>
      <c r="E26" s="6">
        <f t="shared" si="1"/>
        <v>-0.37166245566052786</v>
      </c>
      <c r="F26" s="10" t="str">
        <f t="shared" si="2"/>
        <v>+</v>
      </c>
      <c r="G26" s="10" t="str">
        <f t="shared" si="3"/>
        <v>*-</v>
      </c>
      <c r="H26" s="10" t="str">
        <f t="shared" si="4"/>
        <v>*-</v>
      </c>
    </row>
    <row r="27" spans="1:8" x14ac:dyDescent="0.3">
      <c r="A27" s="7">
        <f t="shared" si="5"/>
        <v>45642</v>
      </c>
      <c r="B27" s="6">
        <f t="shared" si="5"/>
        <v>6764</v>
      </c>
      <c r="C27" s="6">
        <f t="shared" si="6"/>
        <v>0.51958395003537938</v>
      </c>
      <c r="D27" s="6">
        <f t="shared" si="0"/>
        <v>-0.43388373911766481</v>
      </c>
      <c r="E27" s="6">
        <f t="shared" si="1"/>
        <v>-0.1892512443604536</v>
      </c>
      <c r="F27" s="10" t="str">
        <f t="shared" si="2"/>
        <v>+</v>
      </c>
      <c r="G27" s="10" t="str">
        <f t="shared" si="3"/>
        <v>*-</v>
      </c>
      <c r="H27" s="10" t="str">
        <f t="shared" si="4"/>
        <v>*-</v>
      </c>
    </row>
    <row r="28" spans="1:8" x14ac:dyDescent="0.3">
      <c r="A28" s="7">
        <f t="shared" si="5"/>
        <v>45643</v>
      </c>
      <c r="B28" s="6">
        <f t="shared" si="5"/>
        <v>6765</v>
      </c>
      <c r="C28" s="6">
        <f t="shared" si="6"/>
        <v>0.73083596427812736</v>
      </c>
      <c r="D28" s="6">
        <f t="shared" si="0"/>
        <v>-0.62348980185864145</v>
      </c>
      <c r="E28" s="6">
        <f t="shared" si="1"/>
        <v>-9.9969078154460433E-14</v>
      </c>
      <c r="F28" s="10" t="str">
        <f t="shared" si="2"/>
        <v>+</v>
      </c>
      <c r="G28" s="10" t="str">
        <f t="shared" si="3"/>
        <v>*-</v>
      </c>
      <c r="H28" s="10" t="str">
        <f t="shared" si="4"/>
        <v>*-</v>
      </c>
    </row>
    <row r="29" spans="1:8" x14ac:dyDescent="0.3">
      <c r="A29" s="7">
        <f t="shared" si="5"/>
        <v>45644</v>
      </c>
      <c r="B29" s="6">
        <f t="shared" si="5"/>
        <v>6766</v>
      </c>
      <c r="C29" s="6">
        <f t="shared" si="6"/>
        <v>0.88788521840240886</v>
      </c>
      <c r="D29" s="6">
        <f t="shared" si="0"/>
        <v>-0.78183148246809253</v>
      </c>
      <c r="E29" s="6">
        <f t="shared" si="1"/>
        <v>0.18925124436048055</v>
      </c>
      <c r="F29" s="10" t="str">
        <f t="shared" si="2"/>
        <v>*+</v>
      </c>
      <c r="G29" s="10" t="str">
        <f t="shared" si="3"/>
        <v>-</v>
      </c>
      <c r="H29" s="10" t="str">
        <f t="shared" si="4"/>
        <v>*+</v>
      </c>
    </row>
    <row r="30" spans="1:8" x14ac:dyDescent="0.3">
      <c r="A30" s="7">
        <f t="shared" si="5"/>
        <v>45645</v>
      </c>
      <c r="B30" s="6">
        <f t="shared" si="5"/>
        <v>6767</v>
      </c>
      <c r="C30" s="6">
        <f t="shared" si="6"/>
        <v>0.97908408768230537</v>
      </c>
      <c r="D30" s="6">
        <f t="shared" si="0"/>
        <v>-0.9009688679023603</v>
      </c>
      <c r="E30" s="6">
        <f t="shared" si="1"/>
        <v>0.37166245566034223</v>
      </c>
      <c r="F30" s="10" t="str">
        <f t="shared" si="2"/>
        <v>*+</v>
      </c>
      <c r="G30" s="10" t="str">
        <f t="shared" si="3"/>
        <v>-</v>
      </c>
      <c r="H30" s="10" t="str">
        <f t="shared" si="4"/>
        <v>*+</v>
      </c>
    </row>
    <row r="31" spans="1:8" x14ac:dyDescent="0.3">
      <c r="A31" s="7">
        <f t="shared" si="5"/>
        <v>45646</v>
      </c>
      <c r="B31" s="6">
        <f t="shared" si="5"/>
        <v>6768</v>
      </c>
      <c r="C31" s="6">
        <f t="shared" si="6"/>
        <v>0.99766876919055592</v>
      </c>
      <c r="D31" s="6">
        <f t="shared" si="0"/>
        <v>-0.97492791218179142</v>
      </c>
      <c r="E31" s="6">
        <f t="shared" si="1"/>
        <v>0.54064081745556403</v>
      </c>
      <c r="F31" s="10" t="str">
        <f t="shared" si="2"/>
        <v>*+</v>
      </c>
      <c r="G31" s="10" t="str">
        <f t="shared" si="3"/>
        <v>-</v>
      </c>
      <c r="H31" s="10" t="str">
        <f t="shared" si="4"/>
        <v>*+</v>
      </c>
    </row>
    <row r="32" spans="1:8" x14ac:dyDescent="0.3">
      <c r="A32" s="7">
        <f t="shared" si="5"/>
        <v>45647</v>
      </c>
      <c r="B32" s="6">
        <f t="shared" si="5"/>
        <v>6769</v>
      </c>
      <c r="C32" s="6">
        <f t="shared" si="6"/>
        <v>0.94226092211880352</v>
      </c>
      <c r="D32" s="6">
        <f t="shared" si="0"/>
        <v>-1</v>
      </c>
      <c r="E32" s="6">
        <f t="shared" si="1"/>
        <v>0.69007901148204276</v>
      </c>
      <c r="F32" s="10" t="str">
        <f t="shared" si="2"/>
        <v>*+</v>
      </c>
      <c r="G32" s="10" t="str">
        <f t="shared" si="3"/>
        <v>-</v>
      </c>
      <c r="H32" s="10" t="str">
        <f t="shared" si="4"/>
        <v>*+</v>
      </c>
    </row>
    <row r="33" spans="1:8" x14ac:dyDescent="0.3">
      <c r="A33" s="7">
        <f t="shared" si="5"/>
        <v>45648</v>
      </c>
      <c r="B33" s="6">
        <f t="shared" si="5"/>
        <v>6770</v>
      </c>
      <c r="C33" s="6">
        <f t="shared" si="6"/>
        <v>0.8169698930105046</v>
      </c>
      <c r="D33" s="6">
        <f t="shared" si="0"/>
        <v>-0.9749279121818597</v>
      </c>
      <c r="E33" s="6">
        <f t="shared" si="1"/>
        <v>0.8145759520502478</v>
      </c>
      <c r="F33" s="10" t="str">
        <f t="shared" si="2"/>
        <v>*+</v>
      </c>
      <c r="G33" s="10" t="str">
        <f t="shared" si="3"/>
        <v>-</v>
      </c>
      <c r="H33" s="10" t="str">
        <f t="shared" si="4"/>
        <v>*+</v>
      </c>
    </row>
    <row r="34" spans="1:8" x14ac:dyDescent="0.3">
      <c r="A34" s="7">
        <f t="shared" si="5"/>
        <v>45649</v>
      </c>
      <c r="B34" s="6">
        <f t="shared" si="5"/>
        <v>6771</v>
      </c>
      <c r="C34" s="6">
        <f t="shared" si="6"/>
        <v>0.63108794432608406</v>
      </c>
      <c r="D34" s="6">
        <f t="shared" si="0"/>
        <v>-0.90096886790239472</v>
      </c>
      <c r="E34" s="6">
        <f t="shared" si="1"/>
        <v>0.90963199535452677</v>
      </c>
      <c r="F34" s="10" t="str">
        <f t="shared" si="2"/>
        <v>*+</v>
      </c>
      <c r="G34" s="10" t="str">
        <f t="shared" si="3"/>
        <v>-</v>
      </c>
      <c r="H34" s="10" t="str">
        <f t="shared" si="4"/>
        <v>*+</v>
      </c>
    </row>
    <row r="35" spans="1:8" x14ac:dyDescent="0.3">
      <c r="A35" s="7">
        <f t="shared" si="5"/>
        <v>45650</v>
      </c>
      <c r="B35" s="6">
        <f t="shared" si="5"/>
        <v>6772</v>
      </c>
      <c r="C35" s="6">
        <f t="shared" si="6"/>
        <v>0.39840108984621581</v>
      </c>
      <c r="D35" s="6">
        <f t="shared" si="0"/>
        <v>-0.78183148246800027</v>
      </c>
      <c r="E35" s="6">
        <f t="shared" si="1"/>
        <v>0.97181156832353333</v>
      </c>
      <c r="F35" s="10" t="str">
        <f t="shared" si="2"/>
        <v>*+</v>
      </c>
      <c r="G35" s="10" t="str">
        <f t="shared" si="3"/>
        <v>-</v>
      </c>
      <c r="H35" s="10" t="str">
        <f t="shared" si="4"/>
        <v>*+</v>
      </c>
    </row>
    <row r="36" spans="1:8" x14ac:dyDescent="0.3">
      <c r="A36" s="7">
        <f t="shared" si="5"/>
        <v>45651</v>
      </c>
      <c r="B36" s="6">
        <f t="shared" si="5"/>
        <v>6773</v>
      </c>
      <c r="C36" s="6">
        <f t="shared" si="6"/>
        <v>0.13616664909637652</v>
      </c>
      <c r="D36" s="6">
        <f t="shared" si="0"/>
        <v>-0.62348980185888125</v>
      </c>
      <c r="E36" s="6">
        <f t="shared" si="1"/>
        <v>0.99886733918300363</v>
      </c>
      <c r="F36" s="10" t="str">
        <f t="shared" si="2"/>
        <v>*+</v>
      </c>
      <c r="G36" s="10" t="str">
        <f t="shared" si="3"/>
        <v>-</v>
      </c>
      <c r="H36" s="10" t="str">
        <f t="shared" si="4"/>
        <v>*+</v>
      </c>
    </row>
    <row r="37" spans="1:8" x14ac:dyDescent="0.3">
      <c r="A37" s="7">
        <f t="shared" si="5"/>
        <v>45652</v>
      </c>
      <c r="B37" s="6">
        <f t="shared" si="5"/>
        <v>6774</v>
      </c>
      <c r="C37" s="6">
        <f t="shared" si="6"/>
        <v>-0.13616664909618428</v>
      </c>
      <c r="D37" s="6">
        <f t="shared" si="0"/>
        <v>-0.43388373911753153</v>
      </c>
      <c r="E37" s="6">
        <f t="shared" si="1"/>
        <v>0.98982144188092136</v>
      </c>
      <c r="F37" s="10" t="str">
        <f t="shared" si="2"/>
        <v>*-</v>
      </c>
      <c r="G37" s="10" t="str">
        <f t="shared" si="3"/>
        <v>*-</v>
      </c>
      <c r="H37" s="10" t="str">
        <f t="shared" si="4"/>
        <v>+</v>
      </c>
    </row>
    <row r="38" spans="1:8" x14ac:dyDescent="0.3">
      <c r="A38" s="7">
        <f t="shared" si="5"/>
        <v>45653</v>
      </c>
      <c r="B38" s="6">
        <f t="shared" si="5"/>
        <v>6775</v>
      </c>
      <c r="C38" s="6">
        <f t="shared" si="6"/>
        <v>-0.39840108984603784</v>
      </c>
      <c r="D38" s="6">
        <f t="shared" si="0"/>
        <v>-0.22252093395651595</v>
      </c>
      <c r="E38" s="6">
        <f t="shared" si="1"/>
        <v>0.94500081871473485</v>
      </c>
      <c r="F38" s="10" t="str">
        <f t="shared" si="2"/>
        <v>*-</v>
      </c>
      <c r="G38" s="10" t="str">
        <f t="shared" si="3"/>
        <v>*-</v>
      </c>
      <c r="H38" s="10" t="str">
        <f t="shared" si="4"/>
        <v>+</v>
      </c>
    </row>
    <row r="39" spans="1:8" x14ac:dyDescent="0.3">
      <c r="A39" s="7">
        <f t="shared" si="5"/>
        <v>45654</v>
      </c>
      <c r="B39" s="6">
        <f t="shared" si="5"/>
        <v>6776</v>
      </c>
      <c r="C39" s="6">
        <f t="shared" si="6"/>
        <v>-0.63108794432610993</v>
      </c>
      <c r="D39" s="6">
        <f t="shared" si="0"/>
        <v>1.175708835843281E-14</v>
      </c>
      <c r="E39" s="6">
        <f t="shared" si="1"/>
        <v>0.86602540378445436</v>
      </c>
      <c r="F39" s="10" t="str">
        <f t="shared" si="2"/>
        <v>-</v>
      </c>
      <c r="G39" s="10" t="str">
        <f t="shared" si="3"/>
        <v>*+</v>
      </c>
      <c r="H39" s="10" t="str">
        <f t="shared" si="4"/>
        <v>*+</v>
      </c>
    </row>
    <row r="40" spans="1:8" x14ac:dyDescent="0.3">
      <c r="A40" s="7">
        <f t="shared" si="5"/>
        <v>45655</v>
      </c>
      <c r="B40" s="6">
        <f t="shared" si="5"/>
        <v>6777</v>
      </c>
      <c r="C40" s="6">
        <f t="shared" si="6"/>
        <v>-0.81696989301039269</v>
      </c>
      <c r="D40" s="6">
        <f t="shared" si="0"/>
        <v>0.2225209339563172</v>
      </c>
      <c r="E40" s="6">
        <f t="shared" si="1"/>
        <v>0.75574957435431533</v>
      </c>
      <c r="F40" s="10" t="str">
        <f t="shared" si="2"/>
        <v>-</v>
      </c>
      <c r="G40" s="10" t="str">
        <f t="shared" si="3"/>
        <v>*+</v>
      </c>
      <c r="H40" s="10" t="str">
        <f t="shared" si="4"/>
        <v>*+</v>
      </c>
    </row>
    <row r="41" spans="1:8" x14ac:dyDescent="0.3">
      <c r="A41" s="7">
        <f t="shared" si="5"/>
        <v>45656</v>
      </c>
      <c r="B41" s="6">
        <f t="shared" si="5"/>
        <v>6778</v>
      </c>
      <c r="C41" s="6">
        <f t="shared" si="6"/>
        <v>-0.94226092211873858</v>
      </c>
      <c r="D41" s="6">
        <f t="shared" si="0"/>
        <v>0.43388373911734784</v>
      </c>
      <c r="E41" s="6">
        <f t="shared" si="1"/>
        <v>0.61815898622071752</v>
      </c>
      <c r="F41" s="10" t="str">
        <f t="shared" si="2"/>
        <v>-</v>
      </c>
      <c r="G41" s="10" t="str">
        <f t="shared" si="3"/>
        <v>*+</v>
      </c>
      <c r="H41" s="10" t="str">
        <f t="shared" si="4"/>
        <v>*+</v>
      </c>
    </row>
    <row r="42" spans="1:8" x14ac:dyDescent="0.3">
      <c r="A42" s="7">
        <f t="shared" si="5"/>
        <v>45657</v>
      </c>
      <c r="B42" s="6">
        <f t="shared" si="5"/>
        <v>6779</v>
      </c>
      <c r="C42" s="6">
        <f t="shared" si="6"/>
        <v>-0.9976687691905427</v>
      </c>
      <c r="D42" s="6">
        <f t="shared" si="0"/>
        <v>0.62348980185872183</v>
      </c>
      <c r="E42" s="6">
        <f t="shared" si="1"/>
        <v>0.45822652172738487</v>
      </c>
      <c r="F42" s="10" t="str">
        <f t="shared" si="2"/>
        <v>-</v>
      </c>
      <c r="G42" s="10" t="str">
        <f t="shared" si="3"/>
        <v>*+</v>
      </c>
      <c r="H42" s="10" t="str">
        <f t="shared" si="4"/>
        <v>*+</v>
      </c>
    </row>
  </sheetData>
  <mergeCells count="6">
    <mergeCell ref="E1:F1"/>
    <mergeCell ref="A9:H9"/>
    <mergeCell ref="A10:A11"/>
    <mergeCell ref="B10:B11"/>
    <mergeCell ref="C10:E10"/>
    <mergeCell ref="F10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Вариант 21</vt:lpstr>
      <vt:lpstr>Задание 1</vt:lpstr>
      <vt:lpstr>Задание 2</vt:lpstr>
      <vt:lpstr>Биоритмы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Макар Корженевский</dc:creator>
  <cp:lastModifiedBy>feef ewfew</cp:lastModifiedBy>
  <dcterms:created xsi:type="dcterms:W3CDTF">2022-12-05T13:29:16Z</dcterms:created>
  <dcterms:modified xsi:type="dcterms:W3CDTF">2025-01-29T04:47:27Z</dcterms:modified>
</cp:coreProperties>
</file>