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Информатика\ИНФОРМАТИКА ЛАБОРАТОРНЫЕ\Excel\"/>
    </mc:Choice>
  </mc:AlternateContent>
  <xr:revisionPtr revIDLastSave="0" documentId="13_ncr:1_{347A2DA0-1DAE-4D3F-B9C5-3CC9F313D0B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 №1" sheetId="1" r:id="rId1"/>
    <sheet name="Задание №2" sheetId="2" r:id="rId2"/>
    <sheet name="Задание №3" sheetId="3" r:id="rId3"/>
    <sheet name="Задание №4" sheetId="4" r:id="rId4"/>
    <sheet name="Задание №5" sheetId="5" r:id="rId5"/>
  </sheets>
  <definedNames>
    <definedName name="solver_adj" localSheetId="4" hidden="1">'Задание №5'!$O$4:$P$4</definedName>
    <definedName name="solver_cvg" localSheetId="4" hidden="1">0.0001</definedName>
    <definedName name="solver_drv" localSheetId="4" hidden="1">1</definedName>
    <definedName name="solver_eng" localSheetId="4" hidden="1">1</definedName>
    <definedName name="solver_est" localSheetId="4" hidden="1">1</definedName>
    <definedName name="solver_itr" localSheetId="4" hidden="1">2147483647</definedName>
    <definedName name="solver_lhs1" localSheetId="4" hidden="1">'Задание №5'!$O$4</definedName>
    <definedName name="solver_lhs2" localSheetId="4" hidden="1">'Задание №5'!$O$4</definedName>
    <definedName name="solver_lhs3" localSheetId="4" hidden="1">'Задание №5'!$P$4</definedName>
    <definedName name="solver_lhs4" localSheetId="4" hidden="1">'Задание №5'!$P$4</definedName>
    <definedName name="solver_lhs5" localSheetId="4" hidden="1">'Задание №5'!$P$4</definedName>
    <definedName name="solver_mip" localSheetId="4" hidden="1">2147483647</definedName>
    <definedName name="solver_mni" localSheetId="4" hidden="1">30</definedName>
    <definedName name="solver_mrt" localSheetId="4" hidden="1">0.075</definedName>
    <definedName name="solver_msl" localSheetId="4" hidden="1">2</definedName>
    <definedName name="solver_neg" localSheetId="4" hidden="1">1</definedName>
    <definedName name="solver_nod" localSheetId="4" hidden="1">2147483647</definedName>
    <definedName name="solver_num" localSheetId="4" hidden="1">4</definedName>
    <definedName name="solver_nwt" localSheetId="4" hidden="1">1</definedName>
    <definedName name="solver_opt" localSheetId="4" hidden="1">'Задание №5'!$O$7</definedName>
    <definedName name="solver_pre" localSheetId="4" hidden="1">0.000001</definedName>
    <definedName name="solver_rbv" localSheetId="4" hidden="1">1</definedName>
    <definedName name="solver_rel1" localSheetId="4" hidden="1">1</definedName>
    <definedName name="solver_rel2" localSheetId="4" hidden="1">3</definedName>
    <definedName name="solver_rel3" localSheetId="4" hidden="1">1</definedName>
    <definedName name="solver_rel4" localSheetId="4" hidden="1">3</definedName>
    <definedName name="solver_rel5" localSheetId="4" hidden="1">3</definedName>
    <definedName name="solver_rhs1" localSheetId="4" hidden="1">1.2</definedName>
    <definedName name="solver_rhs2" localSheetId="4" hidden="1">1</definedName>
    <definedName name="solver_rhs3" localSheetId="4" hidden="1">0</definedName>
    <definedName name="solver_rhs4" localSheetId="4" hidden="1">-0.4</definedName>
    <definedName name="solver_rhs5" localSheetId="4" hidden="1">-0.4</definedName>
    <definedName name="solver_rlx" localSheetId="4" hidden="1">2</definedName>
    <definedName name="solver_rsd" localSheetId="4" hidden="1">0</definedName>
    <definedName name="solver_scl" localSheetId="4" hidden="1">1</definedName>
    <definedName name="solver_sho" localSheetId="4" hidden="1">2</definedName>
    <definedName name="solver_ssz" localSheetId="4" hidden="1">100</definedName>
    <definedName name="solver_tim" localSheetId="4" hidden="1">2147483647</definedName>
    <definedName name="solver_tol" localSheetId="4" hidden="1">0.01</definedName>
    <definedName name="solver_typ" localSheetId="4" hidden="1">3</definedName>
    <definedName name="solver_val" localSheetId="4" hidden="1">0</definedName>
    <definedName name="solver_ver" localSheetId="4" hidden="1">3</definedName>
  </definedNames>
  <calcPr calcId="191029" iterateDelta="9.9999999999999998E-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1" l="1"/>
  <c r="P6" i="5"/>
  <c r="O6" i="5"/>
  <c r="M6" i="5"/>
  <c r="L6" i="5"/>
  <c r="B39" i="4" a="1"/>
  <c r="E39" i="4" s="1"/>
  <c r="B38" i="4" a="1"/>
  <c r="B38" i="4" s="1"/>
  <c r="B34" i="4" a="1"/>
  <c r="E34" i="4" s="1"/>
  <c r="R4" i="3"/>
  <c r="Q5" i="3" s="1"/>
  <c r="B11" i="1"/>
  <c r="D10" i="1"/>
  <c r="D11" i="1" s="1"/>
  <c r="C11" i="1"/>
  <c r="D4" i="3"/>
  <c r="B5" i="3"/>
  <c r="L7" i="2"/>
  <c r="H13" i="2"/>
  <c r="H14" i="2" s="1"/>
  <c r="I14" i="2" s="1"/>
  <c r="H11" i="2"/>
  <c r="I11" i="2" s="1"/>
  <c r="H8" i="2"/>
  <c r="H9" i="2" s="1"/>
  <c r="H10" i="2" s="1"/>
  <c r="H7" i="2"/>
  <c r="B11" i="2"/>
  <c r="B7" i="2"/>
  <c r="B8" i="2" s="1"/>
  <c r="B9" i="2" s="1"/>
  <c r="B10" i="2" s="1"/>
  <c r="B6" i="2"/>
  <c r="C38" i="4" l="1"/>
  <c r="E38" i="4"/>
  <c r="B39" i="4"/>
  <c r="D39" i="4"/>
  <c r="D38" i="4"/>
  <c r="C39" i="4"/>
  <c r="C34" i="4"/>
  <c r="D34" i="4"/>
  <c r="B34" i="4"/>
  <c r="P5" i="3"/>
  <c r="R5" i="3" s="1"/>
  <c r="E10" i="1"/>
  <c r="I13" i="2"/>
  <c r="H12" i="2"/>
  <c r="I12" i="2" s="1"/>
  <c r="B12" i="2"/>
  <c r="M7" i="2"/>
  <c r="B7" i="1"/>
  <c r="B8" i="1"/>
  <c r="C16" i="1"/>
  <c r="D16" i="1" s="1"/>
  <c r="E16" i="1" s="1"/>
  <c r="F16" i="1" s="1"/>
  <c r="G16" i="1" s="1"/>
  <c r="H16" i="1" s="1"/>
  <c r="I16" i="1" s="1"/>
  <c r="J16" i="1" s="1"/>
  <c r="K16" i="1" s="1"/>
  <c r="K17" i="1" s="1"/>
  <c r="L16" i="1" l="1"/>
  <c r="M16" i="1" s="1"/>
  <c r="N16" i="1" s="1"/>
  <c r="O16" i="1" s="1"/>
  <c r="P16" i="1" s="1"/>
  <c r="Q16" i="1" s="1"/>
  <c r="R16" i="1" s="1"/>
  <c r="S16" i="1" s="1"/>
  <c r="T16" i="1" s="1"/>
  <c r="U16" i="1" s="1"/>
  <c r="V16" i="1" s="1"/>
  <c r="D17" i="1"/>
  <c r="C17" i="1"/>
  <c r="S5" i="3"/>
  <c r="Q6" i="3"/>
  <c r="P6" i="3"/>
  <c r="E11" i="1"/>
  <c r="F10" i="1"/>
  <c r="C10" i="1"/>
  <c r="L8" i="2"/>
  <c r="E17" i="1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F16" i="5"/>
  <c r="P11" i="5"/>
  <c r="O11" i="5"/>
  <c r="L11" i="5"/>
  <c r="M11" i="5"/>
  <c r="L17" i="1" l="1"/>
  <c r="M17" i="1"/>
  <c r="R6" i="3"/>
  <c r="F11" i="1"/>
  <c r="G10" i="1"/>
  <c r="G11" i="1" s="1"/>
  <c r="M8" i="2"/>
  <c r="L9" i="2"/>
  <c r="N17" i="1"/>
  <c r="F17" i="1"/>
  <c r="B4" i="5"/>
  <c r="B25" i="5"/>
  <c r="C25" i="5"/>
  <c r="D25" i="5"/>
  <c r="B26" i="5"/>
  <c r="C26" i="5"/>
  <c r="D26" i="5"/>
  <c r="B27" i="5"/>
  <c r="C27" i="5"/>
  <c r="D27" i="5"/>
  <c r="B28" i="5"/>
  <c r="C28" i="5"/>
  <c r="D28" i="5"/>
  <c r="S6" i="3" l="1"/>
  <c r="Q7" i="3"/>
  <c r="P7" i="3"/>
  <c r="L10" i="2"/>
  <c r="L11" i="2" s="1"/>
  <c r="M9" i="2"/>
  <c r="O17" i="1"/>
  <c r="G17" i="1"/>
  <c r="O7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G39" i="4"/>
  <c r="F39" i="4"/>
  <c r="B30" i="4" a="1"/>
  <c r="B30" i="4" s="1"/>
  <c r="P20" i="4"/>
  <c r="L20" i="4"/>
  <c r="H20" i="4"/>
  <c r="H14" i="4"/>
  <c r="B14" i="4" a="1"/>
  <c r="B14" i="4" s="1"/>
  <c r="C5" i="3"/>
  <c r="H21" i="4" l="1"/>
  <c r="P21" i="4"/>
  <c r="L21" i="4"/>
  <c r="R7" i="3"/>
  <c r="P8" i="3" s="1"/>
  <c r="M11" i="2"/>
  <c r="L12" i="2"/>
  <c r="M10" i="2"/>
  <c r="C6" i="2"/>
  <c r="C12" i="2"/>
  <c r="C8" i="2"/>
  <c r="C11" i="2"/>
  <c r="C7" i="2"/>
  <c r="C10" i="2"/>
  <c r="I7" i="2"/>
  <c r="C9" i="2"/>
  <c r="P17" i="1"/>
  <c r="H17" i="1"/>
  <c r="L7" i="5"/>
  <c r="E30" i="4"/>
  <c r="D30" i="4"/>
  <c r="C30" i="4"/>
  <c r="B32" i="4" s="1" a="1"/>
  <c r="C16" i="4"/>
  <c r="B16" i="4"/>
  <c r="D15" i="4"/>
  <c r="C14" i="4"/>
  <c r="C15" i="4"/>
  <c r="B15" i="4"/>
  <c r="D14" i="4"/>
  <c r="D16" i="4"/>
  <c r="I8" i="2"/>
  <c r="S7" i="3" l="1"/>
  <c r="Q8" i="3"/>
  <c r="R8" i="3" s="1"/>
  <c r="P9" i="3" s="1"/>
  <c r="M12" i="2"/>
  <c r="L13" i="2"/>
  <c r="C18" i="4" a="1"/>
  <c r="C19" i="4" s="1"/>
  <c r="B32" i="4"/>
  <c r="C32" i="4"/>
  <c r="D32" i="4"/>
  <c r="E32" i="4"/>
  <c r="B31" i="4" a="1"/>
  <c r="D5" i="3"/>
  <c r="B6" i="3" s="1"/>
  <c r="Q17" i="1"/>
  <c r="H10" i="1"/>
  <c r="H11" i="1" s="1"/>
  <c r="I17" i="1"/>
  <c r="I9" i="2"/>
  <c r="C18" i="4" l="1"/>
  <c r="C20" i="4"/>
  <c r="Q9" i="3"/>
  <c r="R9" i="3" s="1"/>
  <c r="S8" i="3"/>
  <c r="M13" i="2"/>
  <c r="L14" i="2"/>
  <c r="M14" i="2" s="1"/>
  <c r="C31" i="4"/>
  <c r="B31" i="4"/>
  <c r="D31" i="4"/>
  <c r="E31" i="4"/>
  <c r="E5" i="3"/>
  <c r="C6" i="3"/>
  <c r="D6" i="3" s="1"/>
  <c r="R17" i="1"/>
  <c r="J17" i="1"/>
  <c r="I10" i="1"/>
  <c r="I11" i="1" s="1"/>
  <c r="I10" i="2"/>
  <c r="Q10" i="3" l="1"/>
  <c r="S9" i="3"/>
  <c r="P10" i="3"/>
  <c r="E6" i="3"/>
  <c r="C7" i="3"/>
  <c r="B35" i="4" a="1"/>
  <c r="B7" i="3"/>
  <c r="S17" i="1"/>
  <c r="J10" i="1"/>
  <c r="J11" i="1" s="1"/>
  <c r="R10" i="3" l="1"/>
  <c r="P11" i="3" s="1"/>
  <c r="B35" i="4"/>
  <c r="B36" i="4" s="1" a="1"/>
  <c r="D35" i="4"/>
  <c r="C35" i="4"/>
  <c r="E35" i="4"/>
  <c r="D7" i="3"/>
  <c r="T17" i="1"/>
  <c r="K10" i="1"/>
  <c r="K11" i="1" s="1"/>
  <c r="S10" i="3" l="1"/>
  <c r="Q11" i="3"/>
  <c r="R11" i="3" s="1"/>
  <c r="C8" i="3"/>
  <c r="E7" i="3"/>
  <c r="B8" i="3"/>
  <c r="C36" i="4"/>
  <c r="E36" i="4"/>
  <c r="D36" i="4"/>
  <c r="B36" i="4"/>
  <c r="U17" i="1"/>
  <c r="L10" i="1"/>
  <c r="L11" i="1" s="1"/>
  <c r="Q12" i="3" l="1"/>
  <c r="S11" i="3"/>
  <c r="P12" i="3"/>
  <c r="D8" i="3"/>
  <c r="B9" i="3" s="1"/>
  <c r="B40" i="4" a="1"/>
  <c r="V17" i="1"/>
  <c r="R12" i="3" l="1"/>
  <c r="B40" i="4"/>
  <c r="C40" i="4"/>
  <c r="E40" i="4"/>
  <c r="F38" i="4" s="1"/>
  <c r="D40" i="4"/>
  <c r="C9" i="3"/>
  <c r="D9" i="3" s="1"/>
  <c r="E8" i="3"/>
  <c r="Q13" i="3" l="1"/>
  <c r="S12" i="3"/>
  <c r="P13" i="3"/>
  <c r="C10" i="3"/>
  <c r="E9" i="3"/>
  <c r="B10" i="3"/>
  <c r="R13" i="3" l="1"/>
  <c r="P14" i="3" s="1"/>
  <c r="D10" i="3"/>
  <c r="B11" i="3" s="1"/>
  <c r="S13" i="3" l="1"/>
  <c r="Q14" i="3"/>
  <c r="R14" i="3" s="1"/>
  <c r="C11" i="3"/>
  <c r="D11" i="3" s="1"/>
  <c r="E10" i="3"/>
  <c r="S14" i="3" l="1"/>
  <c r="Q15" i="3"/>
  <c r="P15" i="3"/>
  <c r="C12" i="3"/>
  <c r="E11" i="3"/>
  <c r="B12" i="3"/>
  <c r="R15" i="3" l="1"/>
  <c r="D12" i="3"/>
  <c r="B13" i="3"/>
  <c r="S15" i="3" l="1"/>
  <c r="Q16" i="3"/>
  <c r="P16" i="3"/>
  <c r="C13" i="3"/>
  <c r="D13" i="3" s="1"/>
  <c r="E12" i="3"/>
  <c r="R16" i="3" l="1"/>
  <c r="P17" i="3" s="1"/>
  <c r="C14" i="3"/>
  <c r="E13" i="3"/>
  <c r="B14" i="3"/>
  <c r="S16" i="3" l="1"/>
  <c r="Q17" i="3"/>
  <c r="R17" i="3" s="1"/>
  <c r="D14" i="3"/>
  <c r="B15" i="3"/>
  <c r="S17" i="3" l="1"/>
  <c r="Q18" i="3"/>
  <c r="P18" i="3"/>
  <c r="E14" i="3"/>
  <c r="C15" i="3"/>
  <c r="D15" i="3" s="1"/>
  <c r="B16" i="3" s="1"/>
  <c r="R18" i="3" l="1"/>
  <c r="C16" i="3"/>
  <c r="D16" i="3" s="1"/>
  <c r="E15" i="3"/>
  <c r="Q19" i="3" l="1"/>
  <c r="S18" i="3"/>
  <c r="P19" i="3"/>
  <c r="R19" i="3" s="1"/>
  <c r="S19" i="3" s="1"/>
  <c r="E16" i="3"/>
  <c r="C17" i="3"/>
  <c r="B17" i="3"/>
  <c r="D17" i="3" l="1"/>
  <c r="C18" i="3" l="1"/>
  <c r="E17" i="3"/>
  <c r="B18" i="3"/>
  <c r="D18" i="3" l="1"/>
  <c r="B19" i="3" s="1"/>
  <c r="E18" i="3" l="1"/>
  <c r="C19" i="3"/>
  <c r="D19" i="3" s="1"/>
  <c r="E19" i="3" s="1"/>
</calcChain>
</file>

<file path=xl/sharedStrings.xml><?xml version="1.0" encoding="utf-8"?>
<sst xmlns="http://schemas.openxmlformats.org/spreadsheetml/2006/main" count="78" uniqueCount="53">
  <si>
    <t>Таблица коэффициентов полинома</t>
  </si>
  <si>
    <r>
      <t>a</t>
    </r>
    <r>
      <rPr>
        <vertAlign val="subscript"/>
        <sz val="11"/>
        <color theme="1"/>
        <rFont val="Calibri"/>
        <family val="2"/>
        <charset val="204"/>
        <scheme val="minor"/>
      </rPr>
      <t>n</t>
    </r>
  </si>
  <si>
    <r>
      <t>a</t>
    </r>
    <r>
      <rPr>
        <vertAlign val="subscript"/>
        <sz val="11"/>
        <color theme="1"/>
        <rFont val="Calibri"/>
        <family val="2"/>
        <charset val="204"/>
        <scheme val="minor"/>
      </rPr>
      <t>n-3</t>
    </r>
  </si>
  <si>
    <r>
      <t>a</t>
    </r>
    <r>
      <rPr>
        <vertAlign val="subscript"/>
        <sz val="11"/>
        <color theme="1"/>
        <rFont val="Calibri"/>
        <family val="2"/>
        <charset val="204"/>
        <scheme val="minor"/>
      </rPr>
      <t>n-1</t>
    </r>
  </si>
  <si>
    <r>
      <t>a</t>
    </r>
    <r>
      <rPr>
        <vertAlign val="subscript"/>
        <sz val="11"/>
        <color theme="1"/>
        <rFont val="Calibri"/>
        <family val="2"/>
        <charset val="204"/>
        <scheme val="minor"/>
      </rPr>
      <t>n-2</t>
    </r>
  </si>
  <si>
    <r>
      <t>a</t>
    </r>
    <r>
      <rPr>
        <vertAlign val="subscript"/>
        <sz val="11"/>
        <color theme="1"/>
        <rFont val="Calibri"/>
        <family val="2"/>
        <charset val="204"/>
        <scheme val="minor"/>
      </rPr>
      <t>0</t>
    </r>
  </si>
  <si>
    <t>A =</t>
  </si>
  <si>
    <t>B =</t>
  </si>
  <si>
    <t>x</t>
  </si>
  <si>
    <t>P(x)</t>
  </si>
  <si>
    <t>Решение</t>
  </si>
  <si>
    <t>Ведущий элемент</t>
  </si>
  <si>
    <t>Матрица коэффициентов</t>
  </si>
  <si>
    <t>Правые части</t>
  </si>
  <si>
    <t>x = F(x)</t>
  </si>
  <si>
    <t>Номер шага</t>
  </si>
  <si>
    <t>Очередное приближение</t>
  </si>
  <si>
    <t>Проверка на точность</t>
  </si>
  <si>
    <t>Метод Ньютона</t>
  </si>
  <si>
    <t xml:space="preserve"> </t>
  </si>
  <si>
    <t>Шаг</t>
  </si>
  <si>
    <t>a</t>
  </si>
  <si>
    <t>b</t>
  </si>
  <si>
    <t>c</t>
  </si>
  <si>
    <t>Условие</t>
  </si>
  <si>
    <t>Способ 1 (метод обратной матрицы)</t>
  </si>
  <si>
    <t>x1=</t>
  </si>
  <si>
    <t>x2=</t>
  </si>
  <si>
    <t>x3=</t>
  </si>
  <si>
    <t>Способ 2 (правило Крамера)</t>
  </si>
  <si>
    <r>
      <rPr>
        <sz val="11"/>
        <color theme="1"/>
        <rFont val="Times New Roman"/>
        <family val="1"/>
        <charset val="204"/>
      </rPr>
      <t>∆</t>
    </r>
    <r>
      <rPr>
        <sz val="11"/>
        <color theme="1"/>
        <rFont val="Calibri"/>
        <family val="2"/>
        <charset val="204"/>
      </rPr>
      <t xml:space="preserve"> = </t>
    </r>
  </si>
  <si>
    <r>
      <rPr>
        <sz val="11"/>
        <color theme="1"/>
        <rFont val="Times New Roman"/>
        <family val="1"/>
        <charset val="204"/>
      </rPr>
      <t>∆1</t>
    </r>
    <r>
      <rPr>
        <sz val="11"/>
        <color theme="1"/>
        <rFont val="Calibri"/>
        <family val="2"/>
        <charset val="204"/>
      </rPr>
      <t xml:space="preserve"> = </t>
    </r>
  </si>
  <si>
    <r>
      <rPr>
        <sz val="11"/>
        <color theme="1"/>
        <rFont val="Times New Roman"/>
        <family val="1"/>
        <charset val="204"/>
      </rPr>
      <t>∆2</t>
    </r>
    <r>
      <rPr>
        <sz val="11"/>
        <color theme="1"/>
        <rFont val="Calibri"/>
        <family val="2"/>
        <charset val="204"/>
      </rPr>
      <t xml:space="preserve"> = </t>
    </r>
  </si>
  <si>
    <t>x1 =</t>
  </si>
  <si>
    <t xml:space="preserve">x2 = </t>
  </si>
  <si>
    <t>x3 =</t>
  </si>
  <si>
    <r>
      <rPr>
        <sz val="11"/>
        <color theme="1"/>
        <rFont val="Times New Roman"/>
        <family val="1"/>
        <charset val="204"/>
      </rPr>
      <t>∆3</t>
    </r>
    <r>
      <rPr>
        <sz val="11"/>
        <color theme="1"/>
        <rFont val="Calibri"/>
        <family val="2"/>
        <charset val="204"/>
      </rPr>
      <t xml:space="preserve"> = </t>
    </r>
  </si>
  <si>
    <t>Определитель ∆</t>
  </si>
  <si>
    <t>y</t>
  </si>
  <si>
    <t>Табулирование</t>
  </si>
  <si>
    <t>F1(x)</t>
  </si>
  <si>
    <t>F2(x)</t>
  </si>
  <si>
    <t>F(x)</t>
  </si>
  <si>
    <t>∑F^2(x)</t>
  </si>
  <si>
    <t xml:space="preserve"> -F1(x)</t>
  </si>
  <si>
    <t>Проверка</t>
  </si>
  <si>
    <r>
      <t>y</t>
    </r>
    <r>
      <rPr>
        <sz val="11"/>
        <color theme="1"/>
        <rFont val="Times New Roman"/>
        <family val="1"/>
        <charset val="204"/>
      </rPr>
      <t>↓</t>
    </r>
  </si>
  <si>
    <r>
      <t>x</t>
    </r>
    <r>
      <rPr>
        <sz val="11"/>
        <color theme="1"/>
        <rFont val="Times New Roman"/>
        <family val="1"/>
        <charset val="204"/>
      </rPr>
      <t>→</t>
    </r>
  </si>
  <si>
    <t>Нахождение корней полинома при помощи табулирования. Вариант № 6</t>
  </si>
  <si>
    <t>Нахождение корней нелинейных уравнений с помощью метода итераций. Вариант №6</t>
  </si>
  <si>
    <t>Нахождение корней нелинейных уравнений методом бисекции. Вариант №6</t>
  </si>
  <si>
    <t>Способ 3 (метод исключений Гаусса)</t>
  </si>
  <si>
    <t>Решение уравнения. Вариант №6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</si>
</sst>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color theme="1"/>
      <name val="Calibri"/>
      <family val="2"/>
      <charset val="204"/>
    </font>
    <font>
      <sz val="11"/>
      <color theme="1"/>
      <name val="Calibri"/>
      <family val="1"/>
      <charset val="204"/>
    </font>
    <font>
      <i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60">
    <xf numFmtId="0" fontId="0" fillId="0" borderId="0" xfId="0"/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0" xfId="0" applyFill="1"/>
    <xf numFmtId="0" fontId="0" fillId="6" borderId="1" xfId="0" applyFill="1" applyBorder="1"/>
    <xf numFmtId="0" fontId="0" fillId="2" borderId="1" xfId="0" applyFill="1" applyBorder="1"/>
    <xf numFmtId="0" fontId="0" fillId="0" borderId="1" xfId="0" applyBorder="1"/>
    <xf numFmtId="0" fontId="0" fillId="0" borderId="1" xfId="0" applyFill="1" applyBorder="1"/>
    <xf numFmtId="0" fontId="0" fillId="3" borderId="1" xfId="0" applyFill="1" applyBorder="1"/>
    <xf numFmtId="0" fontId="0" fillId="7" borderId="1" xfId="0" applyFill="1" applyBorder="1" applyAlignment="1">
      <alignment horizontal="right"/>
    </xf>
    <xf numFmtId="0" fontId="0" fillId="0" borderId="0" xfId="0" applyAlignment="1"/>
    <xf numFmtId="0" fontId="0" fillId="0" borderId="0" xfId="0" applyNumberFormat="1"/>
    <xf numFmtId="0" fontId="0" fillId="0" borderId="2" xfId="0" applyBorder="1"/>
    <xf numFmtId="0" fontId="0" fillId="0" borderId="0" xfId="0" applyBorder="1"/>
    <xf numFmtId="0" fontId="0" fillId="8" borderId="1" xfId="0" applyFill="1" applyBorder="1" applyAlignment="1">
      <alignment horizontal="center" vertical="center"/>
    </xf>
    <xf numFmtId="0" fontId="0" fillId="0" borderId="0" xfId="0" applyFill="1" applyBorder="1"/>
    <xf numFmtId="0" fontId="0" fillId="9" borderId="1" xfId="0" applyFill="1" applyBorder="1" applyAlignment="1">
      <alignment horizontal="center"/>
    </xf>
    <xf numFmtId="0" fontId="0" fillId="0" borderId="3" xfId="0" applyFill="1" applyBorder="1"/>
    <xf numFmtId="0" fontId="4" fillId="10" borderId="1" xfId="0" applyFont="1" applyFill="1" applyBorder="1" applyAlignment="1">
      <alignment horizontal="center"/>
    </xf>
    <xf numFmtId="0" fontId="0" fillId="9" borderId="1" xfId="0" applyFill="1" applyBorder="1"/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0" borderId="4" xfId="0" applyBorder="1"/>
    <xf numFmtId="0" fontId="0" fillId="5" borderId="1" xfId="0" applyFill="1" applyBorder="1"/>
    <xf numFmtId="0" fontId="5" fillId="0" borderId="0" xfId="0" applyFont="1" applyAlignment="1">
      <alignment horizontal="center" vertical="center"/>
    </xf>
    <xf numFmtId="0" fontId="2" fillId="0" borderId="0" xfId="0" applyFont="1"/>
    <xf numFmtId="0" fontId="0" fillId="6" borderId="2" xfId="0" applyFill="1" applyBorder="1"/>
    <xf numFmtId="0" fontId="0" fillId="11" borderId="1" xfId="0" applyFill="1" applyBorder="1"/>
    <xf numFmtId="0" fontId="0" fillId="12" borderId="1" xfId="0" applyNumberFormat="1" applyFill="1" applyBorder="1"/>
    <xf numFmtId="0" fontId="0" fillId="12" borderId="1" xfId="0" applyFill="1" applyBorder="1"/>
    <xf numFmtId="0" fontId="0" fillId="13" borderId="1" xfId="0" applyFill="1" applyBorder="1" applyAlignment="1">
      <alignment horizontal="center"/>
    </xf>
    <xf numFmtId="0" fontId="0" fillId="13" borderId="1" xfId="0" applyFill="1" applyBorder="1"/>
    <xf numFmtId="0" fontId="0" fillId="0" borderId="5" xfId="0" applyBorder="1"/>
    <xf numFmtId="0" fontId="0" fillId="11" borderId="5" xfId="0" applyFill="1" applyBorder="1"/>
    <xf numFmtId="0" fontId="0" fillId="14" borderId="1" xfId="0" applyFill="1" applyBorder="1"/>
    <xf numFmtId="0" fontId="0" fillId="15" borderId="1" xfId="0" applyFill="1" applyBorder="1"/>
    <xf numFmtId="0" fontId="0" fillId="0" borderId="1" xfId="0" applyNumberFormat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2" fontId="0" fillId="0" borderId="1" xfId="0" applyNumberFormat="1" applyBorder="1"/>
    <xf numFmtId="2" fontId="0" fillId="0" borderId="1" xfId="0" applyNumberFormat="1" applyFill="1" applyBorder="1"/>
    <xf numFmtId="2" fontId="0" fillId="0" borderId="0" xfId="0" applyNumberFormat="1"/>
    <xf numFmtId="0" fontId="0" fillId="10" borderId="1" xfId="0" applyFill="1" applyBorder="1"/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baseline="0">
                <a:effectLst/>
              </a:rPr>
              <a:t>Наглядное представление решения методом Итераций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№2'!$A$5:$A$12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'Задание №2'!$B$5:$B$12</c:f>
              <c:numCache>
                <c:formatCode>General</c:formatCode>
                <c:ptCount val="8"/>
                <c:pt idx="0">
                  <c:v>0.1</c:v>
                </c:pt>
                <c:pt idx="1">
                  <c:v>0.77564627324851132</c:v>
                </c:pt>
                <c:pt idx="2">
                  <c:v>0.77024937897768464</c:v>
                </c:pt>
                <c:pt idx="3">
                  <c:v>0.76794727117486328</c:v>
                </c:pt>
                <c:pt idx="4">
                  <c:v>0.76696900476011831</c:v>
                </c:pt>
                <c:pt idx="5">
                  <c:v>0.76655397592888486</c:v>
                </c:pt>
                <c:pt idx="6">
                  <c:v>0.76637802306057223</c:v>
                </c:pt>
                <c:pt idx="7">
                  <c:v>0.76630344936640604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E3-4022-A758-802DBE409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2616751"/>
        <c:axId val="1852617167"/>
      </c:scatterChart>
      <c:valAx>
        <c:axId val="1852616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2617167"/>
        <c:crosses val="autoZero"/>
        <c:crossBetween val="midCat"/>
      </c:valAx>
      <c:valAx>
        <c:axId val="185261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2616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baseline="0">
                <a:effectLst/>
              </a:rPr>
              <a:t>Наглядное представление решения методом Ньютона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'Задание №2'!$G$6:$G$14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'Задание №2'!$H$6:$H$14</c:f>
              <c:numCache>
                <c:formatCode>General</c:formatCode>
                <c:ptCount val="9"/>
                <c:pt idx="0">
                  <c:v>1</c:v>
                </c:pt>
                <c:pt idx="1">
                  <c:v>0.875</c:v>
                </c:pt>
                <c:pt idx="2">
                  <c:v>0.80600896932129218</c:v>
                </c:pt>
                <c:pt idx="3">
                  <c:v>0.77798553397102144</c:v>
                </c:pt>
                <c:pt idx="4">
                  <c:v>0.76932914386138551</c:v>
                </c:pt>
                <c:pt idx="5">
                  <c:v>0.76702429219502066</c:v>
                </c:pt>
                <c:pt idx="6">
                  <c:v>0.76644168816335834</c:v>
                </c:pt>
                <c:pt idx="7">
                  <c:v>0.76629652736685627</c:v>
                </c:pt>
                <c:pt idx="8">
                  <c:v>0.76626049214483594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C9-43C3-A377-A02128AAE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131935"/>
        <c:axId val="1849132767"/>
      </c:scatterChart>
      <c:valAx>
        <c:axId val="1849131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49132767"/>
        <c:crosses val="autoZero"/>
        <c:crossBetween val="midCat"/>
      </c:valAx>
      <c:valAx>
        <c:axId val="184913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49131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baseline="0">
                <a:effectLst/>
              </a:rPr>
              <a:t>Наглядное представление решения методом Ньютона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'Задание №2'!$K$6:$K$14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'Задание №2'!$L$6:$L$14</c:f>
              <c:numCache>
                <c:formatCode>General</c:formatCode>
                <c:ptCount val="9"/>
                <c:pt idx="0">
                  <c:v>0.1</c:v>
                </c:pt>
                <c:pt idx="1">
                  <c:v>6.8564627324851131</c:v>
                </c:pt>
                <c:pt idx="2">
                  <c:v>3.4646933160487632</c:v>
                </c:pt>
                <c:pt idx="3">
                  <c:v>1.8045031166759968</c:v>
                </c:pt>
                <c:pt idx="4">
                  <c:v>1.0407938516095752</c:v>
                </c:pt>
                <c:pt idx="5">
                  <c:v>0.7605981910345716</c:v>
                </c:pt>
                <c:pt idx="6">
                  <c:v>0.70898775524174296</c:v>
                </c:pt>
                <c:pt idx="7">
                  <c:v>0.70710927633781784</c:v>
                </c:pt>
                <c:pt idx="8">
                  <c:v>0.70710678119094972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D0-4D0D-BFD9-F4FF7E240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2620383"/>
        <c:axId val="1852620799"/>
      </c:scatterChart>
      <c:valAx>
        <c:axId val="1852620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2620799"/>
        <c:crosses val="autoZero"/>
        <c:crossBetween val="midCat"/>
      </c:valAx>
      <c:valAx>
        <c:axId val="185262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2620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Наглядное представление решения методом бисекции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2.8520778652668416E-2"/>
          <c:y val="0.2527314814814815"/>
          <c:w val="0.92892366579177599"/>
          <c:h val="0.69444444444444442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№3'!$A$4:$A$19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'Задание №3'!$D$4:$D$19</c:f>
              <c:numCache>
                <c:formatCode>General</c:formatCode>
                <c:ptCount val="16"/>
                <c:pt idx="0">
                  <c:v>1.05</c:v>
                </c:pt>
                <c:pt idx="1">
                  <c:v>0.57500000000000007</c:v>
                </c:pt>
                <c:pt idx="2">
                  <c:v>0.8125</c:v>
                </c:pt>
                <c:pt idx="3">
                  <c:v>0.69375000000000009</c:v>
                </c:pt>
                <c:pt idx="4">
                  <c:v>0.75312500000000004</c:v>
                </c:pt>
                <c:pt idx="5">
                  <c:v>0.72343750000000007</c:v>
                </c:pt>
                <c:pt idx="6">
                  <c:v>0.70859375000000013</c:v>
                </c:pt>
                <c:pt idx="7">
                  <c:v>0.70117187500000011</c:v>
                </c:pt>
                <c:pt idx="8">
                  <c:v>0.70488281250000018</c:v>
                </c:pt>
                <c:pt idx="9">
                  <c:v>0.70673828125000016</c:v>
                </c:pt>
                <c:pt idx="10">
                  <c:v>0.70766601562500009</c:v>
                </c:pt>
                <c:pt idx="11">
                  <c:v>0.70720214843750018</c:v>
                </c:pt>
                <c:pt idx="12">
                  <c:v>0.70697021484375022</c:v>
                </c:pt>
                <c:pt idx="13">
                  <c:v>0.7070861816406252</c:v>
                </c:pt>
                <c:pt idx="14">
                  <c:v>0.70714416503906263</c:v>
                </c:pt>
                <c:pt idx="15">
                  <c:v>0.70711517333984397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C5-4F65-95FA-B8B4191BD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6837248"/>
        <c:axId val="226839168"/>
      </c:scatterChart>
      <c:valAx>
        <c:axId val="226837248"/>
        <c:scaling>
          <c:orientation val="minMax"/>
          <c:max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6839168"/>
        <c:crosses val="autoZero"/>
        <c:crossBetween val="midCat"/>
      </c:valAx>
      <c:valAx>
        <c:axId val="226839168"/>
        <c:scaling>
          <c:orientation val="minMax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6837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baseline="0">
                <a:effectLst/>
              </a:rPr>
              <a:t>Наглядное представление решения методом бисекции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'Задание №3'!$O$4:$O$19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'Задание №3'!$R$4:$R$19</c:f>
              <c:numCache>
                <c:formatCode>General</c:formatCode>
                <c:ptCount val="16"/>
                <c:pt idx="0">
                  <c:v>0.5</c:v>
                </c:pt>
                <c:pt idx="1">
                  <c:v>1.25</c:v>
                </c:pt>
                <c:pt idx="2">
                  <c:v>0.875</c:v>
                </c:pt>
                <c:pt idx="3">
                  <c:v>0.6875</c:v>
                </c:pt>
                <c:pt idx="4">
                  <c:v>0.78125</c:v>
                </c:pt>
                <c:pt idx="5">
                  <c:v>0.734375</c:v>
                </c:pt>
                <c:pt idx="6">
                  <c:v>0.7109375</c:v>
                </c:pt>
                <c:pt idx="7">
                  <c:v>0.69921875</c:v>
                </c:pt>
                <c:pt idx="8">
                  <c:v>0.705078125</c:v>
                </c:pt>
                <c:pt idx="9">
                  <c:v>0.7080078125</c:v>
                </c:pt>
                <c:pt idx="10">
                  <c:v>0.70654296875</c:v>
                </c:pt>
                <c:pt idx="11">
                  <c:v>0.707275390625</c:v>
                </c:pt>
                <c:pt idx="12">
                  <c:v>0.7069091796875</c:v>
                </c:pt>
                <c:pt idx="13">
                  <c:v>0.70709228515625</c:v>
                </c:pt>
                <c:pt idx="14">
                  <c:v>0.707183837890625</c:v>
                </c:pt>
                <c:pt idx="15">
                  <c:v>0.7071380615234375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E15-4F29-A762-249DBC45B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1508287"/>
        <c:axId val="1861513695"/>
      </c:scatterChart>
      <c:valAx>
        <c:axId val="1861508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61513695"/>
        <c:crosses val="autoZero"/>
        <c:crossBetween val="midCat"/>
      </c:valAx>
      <c:valAx>
        <c:axId val="18615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6150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Поверхностная</a:t>
            </a:r>
            <a:r>
              <a:rPr lang="ru-RU" baseline="0"/>
              <a:t> диаграмма для задания 5 </a:t>
            </a:r>
            <a:endParaRPr lang="ru-RU"/>
          </a:p>
        </c:rich>
      </c:tx>
      <c:layout>
        <c:manualLayout>
          <c:xMode val="edge"/>
          <c:yMode val="edge"/>
          <c:x val="0.28492546054406748"/>
          <c:y val="2.7777777777777776E-2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15"/>
      <c:rotY val="20"/>
      <c:rAngAx val="0"/>
    </c:view3D>
    <c:floor>
      <c:thickness val="0"/>
      <c:spPr>
        <a:noFill/>
        <a:ln>
          <a:solidFill>
            <a:schemeClr val="tx1"/>
          </a:solidFill>
        </a:ln>
        <a:effectLst/>
        <a:sp3d>
          <a:contourClr>
            <a:schemeClr val="tx1"/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9136815791929665E-2"/>
          <c:y val="0.11177153124533554"/>
          <c:w val="0.86978042295892866"/>
          <c:h val="0.72298496757980191"/>
        </c:manualLayout>
      </c:layout>
      <c:surface3DChart>
        <c:wireframe val="0"/>
        <c:ser>
          <c:idx val="0"/>
          <c:order val="0"/>
          <c:tx>
            <c:strRef>
              <c:f>'Задание №5'!$E$16</c:f>
              <c:strCache>
                <c:ptCount val="1"/>
                <c:pt idx="0">
                  <c:v>-2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'Задание №5'!$F$15:$Z$15</c:f>
              <c:numCache>
                <c:formatCode>General</c:formatCode>
                <c:ptCount val="21"/>
                <c:pt idx="0">
                  <c:v>-2</c:v>
                </c:pt>
                <c:pt idx="1">
                  <c:v>-1.8</c:v>
                </c:pt>
                <c:pt idx="2">
                  <c:v>-1.6</c:v>
                </c:pt>
                <c:pt idx="3">
                  <c:v>-1.4</c:v>
                </c:pt>
                <c:pt idx="4">
                  <c:v>-1.2</c:v>
                </c:pt>
                <c:pt idx="5">
                  <c:v>-1</c:v>
                </c:pt>
                <c:pt idx="6">
                  <c:v>-0.8</c:v>
                </c:pt>
                <c:pt idx="7">
                  <c:v>-0.6</c:v>
                </c:pt>
                <c:pt idx="8">
                  <c:v>-0.4</c:v>
                </c:pt>
                <c:pt idx="9">
                  <c:v>-0.2</c:v>
                </c:pt>
                <c:pt idx="10">
                  <c:v>0</c:v>
                </c:pt>
                <c:pt idx="11">
                  <c:v>0.2</c:v>
                </c:pt>
                <c:pt idx="12">
                  <c:v>0.4</c:v>
                </c:pt>
                <c:pt idx="13">
                  <c:v>0.6</c:v>
                </c:pt>
                <c:pt idx="14">
                  <c:v>0.8</c:v>
                </c:pt>
                <c:pt idx="15">
                  <c:v>1</c:v>
                </c:pt>
                <c:pt idx="16">
                  <c:v>1.2</c:v>
                </c:pt>
                <c:pt idx="17">
                  <c:v>1.4</c:v>
                </c:pt>
                <c:pt idx="18">
                  <c:v>1.6</c:v>
                </c:pt>
                <c:pt idx="19">
                  <c:v>1.8</c:v>
                </c:pt>
                <c:pt idx="20">
                  <c:v>2</c:v>
                </c:pt>
              </c:numCache>
            </c:numRef>
          </c:cat>
          <c:val>
            <c:numRef>
              <c:f>'Задание №5'!$F$16:$Z$16</c:f>
              <c:numCache>
                <c:formatCode>General</c:formatCode>
                <c:ptCount val="21"/>
                <c:pt idx="0">
                  <c:v>1586</c:v>
                </c:pt>
                <c:pt idx="1">
                  <c:v>1451.3104000000001</c:v>
                </c:pt>
                <c:pt idx="2">
                  <c:v>1330.2944</c:v>
                </c:pt>
                <c:pt idx="3">
                  <c:v>1221.6463999999999</c:v>
                </c:pt>
                <c:pt idx="4">
                  <c:v>1124.2143999999998</c:v>
                </c:pt>
                <c:pt idx="5">
                  <c:v>1037</c:v>
                </c:pt>
                <c:pt idx="6">
                  <c:v>959.15840000000003</c:v>
                </c:pt>
                <c:pt idx="7">
                  <c:v>889.99839999999995</c:v>
                </c:pt>
                <c:pt idx="8">
                  <c:v>828.98239999999998</c:v>
                </c:pt>
                <c:pt idx="9">
                  <c:v>775.72640000000001</c:v>
                </c:pt>
                <c:pt idx="10">
                  <c:v>730</c:v>
                </c:pt>
                <c:pt idx="11">
                  <c:v>691.72640000000001</c:v>
                </c:pt>
                <c:pt idx="12">
                  <c:v>660.98239999999998</c:v>
                </c:pt>
                <c:pt idx="13">
                  <c:v>637.99839999999995</c:v>
                </c:pt>
                <c:pt idx="14">
                  <c:v>623.15840000000003</c:v>
                </c:pt>
                <c:pt idx="15">
                  <c:v>617</c:v>
                </c:pt>
                <c:pt idx="16">
                  <c:v>620.21439999999996</c:v>
                </c:pt>
                <c:pt idx="17">
                  <c:v>633.64639999999986</c:v>
                </c:pt>
                <c:pt idx="18">
                  <c:v>658.2944</c:v>
                </c:pt>
                <c:pt idx="19">
                  <c:v>695.31040000000007</c:v>
                </c:pt>
                <c:pt idx="20">
                  <c:v>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A5-4C75-90CB-79779481E483}"/>
            </c:ext>
          </c:extLst>
        </c:ser>
        <c:ser>
          <c:idx val="1"/>
          <c:order val="1"/>
          <c:tx>
            <c:strRef>
              <c:f>'Задание №5'!$E$17</c:f>
              <c:strCache>
                <c:ptCount val="1"/>
                <c:pt idx="0">
                  <c:v>-1,8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'Задание №5'!$F$15:$Z$15</c:f>
              <c:numCache>
                <c:formatCode>General</c:formatCode>
                <c:ptCount val="21"/>
                <c:pt idx="0">
                  <c:v>-2</c:v>
                </c:pt>
                <c:pt idx="1">
                  <c:v>-1.8</c:v>
                </c:pt>
                <c:pt idx="2">
                  <c:v>-1.6</c:v>
                </c:pt>
                <c:pt idx="3">
                  <c:v>-1.4</c:v>
                </c:pt>
                <c:pt idx="4">
                  <c:v>-1.2</c:v>
                </c:pt>
                <c:pt idx="5">
                  <c:v>-1</c:v>
                </c:pt>
                <c:pt idx="6">
                  <c:v>-0.8</c:v>
                </c:pt>
                <c:pt idx="7">
                  <c:v>-0.6</c:v>
                </c:pt>
                <c:pt idx="8">
                  <c:v>-0.4</c:v>
                </c:pt>
                <c:pt idx="9">
                  <c:v>-0.2</c:v>
                </c:pt>
                <c:pt idx="10">
                  <c:v>0</c:v>
                </c:pt>
                <c:pt idx="11">
                  <c:v>0.2</c:v>
                </c:pt>
                <c:pt idx="12">
                  <c:v>0.4</c:v>
                </c:pt>
                <c:pt idx="13">
                  <c:v>0.6</c:v>
                </c:pt>
                <c:pt idx="14">
                  <c:v>0.8</c:v>
                </c:pt>
                <c:pt idx="15">
                  <c:v>1</c:v>
                </c:pt>
                <c:pt idx="16">
                  <c:v>1.2</c:v>
                </c:pt>
                <c:pt idx="17">
                  <c:v>1.4</c:v>
                </c:pt>
                <c:pt idx="18">
                  <c:v>1.6</c:v>
                </c:pt>
                <c:pt idx="19">
                  <c:v>1.8</c:v>
                </c:pt>
                <c:pt idx="20">
                  <c:v>2</c:v>
                </c:pt>
              </c:numCache>
            </c:numRef>
          </c:cat>
          <c:val>
            <c:numRef>
              <c:f>'Задание №5'!$F$17:$Z$17</c:f>
              <c:numCache>
                <c:formatCode>General</c:formatCode>
                <c:ptCount val="21"/>
                <c:pt idx="0">
                  <c:v>1302.0800000000002</c:v>
                </c:pt>
                <c:pt idx="1">
                  <c:v>1182.5424000000003</c:v>
                </c:pt>
                <c:pt idx="2">
                  <c:v>1075.4624000000001</c:v>
                </c:pt>
                <c:pt idx="3">
                  <c:v>979.53440000000001</c:v>
                </c:pt>
                <c:pt idx="4">
                  <c:v>893.60640000000001</c:v>
                </c:pt>
                <c:pt idx="5">
                  <c:v>816.68000000000006</c:v>
                </c:pt>
                <c:pt idx="6">
                  <c:v>747.9104000000001</c:v>
                </c:pt>
                <c:pt idx="7">
                  <c:v>686.60640000000001</c:v>
                </c:pt>
                <c:pt idx="8">
                  <c:v>632.23040000000015</c:v>
                </c:pt>
                <c:pt idx="9">
                  <c:v>584.39840000000004</c:v>
                </c:pt>
                <c:pt idx="10">
                  <c:v>542.88000000000011</c:v>
                </c:pt>
                <c:pt idx="11">
                  <c:v>507.59839999999997</c:v>
                </c:pt>
                <c:pt idx="12">
                  <c:v>478.63040000000007</c:v>
                </c:pt>
                <c:pt idx="13">
                  <c:v>456.20640000000003</c:v>
                </c:pt>
                <c:pt idx="14">
                  <c:v>440.71040000000011</c:v>
                </c:pt>
                <c:pt idx="15">
                  <c:v>432.68000000000006</c:v>
                </c:pt>
                <c:pt idx="16">
                  <c:v>432.80640000000005</c:v>
                </c:pt>
                <c:pt idx="17">
                  <c:v>441.93439999999998</c:v>
                </c:pt>
                <c:pt idx="18">
                  <c:v>461.06240000000014</c:v>
                </c:pt>
                <c:pt idx="19">
                  <c:v>491.34240000000011</c:v>
                </c:pt>
                <c:pt idx="20">
                  <c:v>534.08000000000015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A5-4C75-90CB-79779481E483}"/>
            </c:ext>
          </c:extLst>
        </c:ser>
        <c:ser>
          <c:idx val="2"/>
          <c:order val="2"/>
          <c:tx>
            <c:strRef>
              <c:f>'Задание №5'!$E$18</c:f>
              <c:strCache>
                <c:ptCount val="1"/>
                <c:pt idx="0">
                  <c:v>-1,6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'Задание №5'!$F$15:$Z$15</c:f>
              <c:numCache>
                <c:formatCode>General</c:formatCode>
                <c:ptCount val="21"/>
                <c:pt idx="0">
                  <c:v>-2</c:v>
                </c:pt>
                <c:pt idx="1">
                  <c:v>-1.8</c:v>
                </c:pt>
                <c:pt idx="2">
                  <c:v>-1.6</c:v>
                </c:pt>
                <c:pt idx="3">
                  <c:v>-1.4</c:v>
                </c:pt>
                <c:pt idx="4">
                  <c:v>-1.2</c:v>
                </c:pt>
                <c:pt idx="5">
                  <c:v>-1</c:v>
                </c:pt>
                <c:pt idx="6">
                  <c:v>-0.8</c:v>
                </c:pt>
                <c:pt idx="7">
                  <c:v>-0.6</c:v>
                </c:pt>
                <c:pt idx="8">
                  <c:v>-0.4</c:v>
                </c:pt>
                <c:pt idx="9">
                  <c:v>-0.2</c:v>
                </c:pt>
                <c:pt idx="10">
                  <c:v>0</c:v>
                </c:pt>
                <c:pt idx="11">
                  <c:v>0.2</c:v>
                </c:pt>
                <c:pt idx="12">
                  <c:v>0.4</c:v>
                </c:pt>
                <c:pt idx="13">
                  <c:v>0.6</c:v>
                </c:pt>
                <c:pt idx="14">
                  <c:v>0.8</c:v>
                </c:pt>
                <c:pt idx="15">
                  <c:v>1</c:v>
                </c:pt>
                <c:pt idx="16">
                  <c:v>1.2</c:v>
                </c:pt>
                <c:pt idx="17">
                  <c:v>1.4</c:v>
                </c:pt>
                <c:pt idx="18">
                  <c:v>1.6</c:v>
                </c:pt>
                <c:pt idx="19">
                  <c:v>1.8</c:v>
                </c:pt>
                <c:pt idx="20">
                  <c:v>2</c:v>
                </c:pt>
              </c:numCache>
            </c:numRef>
          </c:cat>
          <c:val>
            <c:numRef>
              <c:f>'Задание №5'!$F$18:$Z$18</c:f>
              <c:numCache>
                <c:formatCode>General</c:formatCode>
                <c:ptCount val="21"/>
                <c:pt idx="0">
                  <c:v>1067.5999999999999</c:v>
                </c:pt>
                <c:pt idx="1">
                  <c:v>961.99839999999995</c:v>
                </c:pt>
                <c:pt idx="2">
                  <c:v>867.76639999999998</c:v>
                </c:pt>
                <c:pt idx="3">
                  <c:v>783.59839999999997</c:v>
                </c:pt>
                <c:pt idx="4">
                  <c:v>708.3424</c:v>
                </c:pt>
                <c:pt idx="5">
                  <c:v>641</c:v>
                </c:pt>
                <c:pt idx="6">
                  <c:v>580.72640000000001</c:v>
                </c:pt>
                <c:pt idx="7">
                  <c:v>526.83040000000005</c:v>
                </c:pt>
                <c:pt idx="8">
                  <c:v>478.77440000000001</c:v>
                </c:pt>
                <c:pt idx="9">
                  <c:v>436.17439999999999</c:v>
                </c:pt>
                <c:pt idx="10">
                  <c:v>398.79999999999995</c:v>
                </c:pt>
                <c:pt idx="11">
                  <c:v>366.57440000000003</c:v>
                </c:pt>
                <c:pt idx="12">
                  <c:v>339.57440000000008</c:v>
                </c:pt>
                <c:pt idx="13">
                  <c:v>318.0304000000001</c:v>
                </c:pt>
                <c:pt idx="14">
                  <c:v>302.32640000000004</c:v>
                </c:pt>
                <c:pt idx="15">
                  <c:v>293.00000000000011</c:v>
                </c:pt>
                <c:pt idx="16">
                  <c:v>290.74240000000009</c:v>
                </c:pt>
                <c:pt idx="17">
                  <c:v>296.39840000000009</c:v>
                </c:pt>
                <c:pt idx="18">
                  <c:v>310.96640000000008</c:v>
                </c:pt>
                <c:pt idx="19">
                  <c:v>335.59840000000003</c:v>
                </c:pt>
                <c:pt idx="20">
                  <c:v>371.60000000000014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A5-4C75-90CB-79779481E483}"/>
            </c:ext>
          </c:extLst>
        </c:ser>
        <c:ser>
          <c:idx val="3"/>
          <c:order val="3"/>
          <c:tx>
            <c:strRef>
              <c:f>'Задание №5'!$E$19</c:f>
              <c:strCache>
                <c:ptCount val="1"/>
                <c:pt idx="0">
                  <c:v>-1,4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'Задание №5'!$F$15:$Z$15</c:f>
              <c:numCache>
                <c:formatCode>General</c:formatCode>
                <c:ptCount val="21"/>
                <c:pt idx="0">
                  <c:v>-2</c:v>
                </c:pt>
                <c:pt idx="1">
                  <c:v>-1.8</c:v>
                </c:pt>
                <c:pt idx="2">
                  <c:v>-1.6</c:v>
                </c:pt>
                <c:pt idx="3">
                  <c:v>-1.4</c:v>
                </c:pt>
                <c:pt idx="4">
                  <c:v>-1.2</c:v>
                </c:pt>
                <c:pt idx="5">
                  <c:v>-1</c:v>
                </c:pt>
                <c:pt idx="6">
                  <c:v>-0.8</c:v>
                </c:pt>
                <c:pt idx="7">
                  <c:v>-0.6</c:v>
                </c:pt>
                <c:pt idx="8">
                  <c:v>-0.4</c:v>
                </c:pt>
                <c:pt idx="9">
                  <c:v>-0.2</c:v>
                </c:pt>
                <c:pt idx="10">
                  <c:v>0</c:v>
                </c:pt>
                <c:pt idx="11">
                  <c:v>0.2</c:v>
                </c:pt>
                <c:pt idx="12">
                  <c:v>0.4</c:v>
                </c:pt>
                <c:pt idx="13">
                  <c:v>0.6</c:v>
                </c:pt>
                <c:pt idx="14">
                  <c:v>0.8</c:v>
                </c:pt>
                <c:pt idx="15">
                  <c:v>1</c:v>
                </c:pt>
                <c:pt idx="16">
                  <c:v>1.2</c:v>
                </c:pt>
                <c:pt idx="17">
                  <c:v>1.4</c:v>
                </c:pt>
                <c:pt idx="18">
                  <c:v>1.6</c:v>
                </c:pt>
                <c:pt idx="19">
                  <c:v>1.8</c:v>
                </c:pt>
                <c:pt idx="20">
                  <c:v>2</c:v>
                </c:pt>
              </c:numCache>
            </c:numRef>
          </c:cat>
          <c:val>
            <c:numRef>
              <c:f>'Задание №5'!$F$19:$Z$19</c:f>
              <c:numCache>
                <c:formatCode>General</c:formatCode>
                <c:ptCount val="21"/>
                <c:pt idx="0">
                  <c:v>874.40000000000009</c:v>
                </c:pt>
                <c:pt idx="1">
                  <c:v>781.51840000000016</c:v>
                </c:pt>
                <c:pt idx="2">
                  <c:v>699.04640000000006</c:v>
                </c:pt>
                <c:pt idx="3">
                  <c:v>625.67840000000001</c:v>
                </c:pt>
                <c:pt idx="4">
                  <c:v>560.26240000000007</c:v>
                </c:pt>
                <c:pt idx="5">
                  <c:v>501.80000000000007</c:v>
                </c:pt>
                <c:pt idx="6">
                  <c:v>449.44640000000004</c:v>
                </c:pt>
                <c:pt idx="7">
                  <c:v>402.5104</c:v>
                </c:pt>
                <c:pt idx="8">
                  <c:v>360.45440000000002</c:v>
                </c:pt>
                <c:pt idx="9">
                  <c:v>322.89440000000002</c:v>
                </c:pt>
                <c:pt idx="10">
                  <c:v>289.59999999999997</c:v>
                </c:pt>
                <c:pt idx="11">
                  <c:v>260.49439999999998</c:v>
                </c:pt>
                <c:pt idx="12">
                  <c:v>235.65439999999995</c:v>
                </c:pt>
                <c:pt idx="13">
                  <c:v>215.31039999999999</c:v>
                </c:pt>
                <c:pt idx="14">
                  <c:v>199.84639999999996</c:v>
                </c:pt>
                <c:pt idx="15">
                  <c:v>189.79999999999998</c:v>
                </c:pt>
                <c:pt idx="16">
                  <c:v>185.86239999999998</c:v>
                </c:pt>
                <c:pt idx="17">
                  <c:v>188.87839999999997</c:v>
                </c:pt>
                <c:pt idx="18">
                  <c:v>199.84639999999999</c:v>
                </c:pt>
                <c:pt idx="19">
                  <c:v>219.91840000000002</c:v>
                </c:pt>
                <c:pt idx="20">
                  <c:v>250.39999999999989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A5-4C75-90CB-79779481E483}"/>
            </c:ext>
          </c:extLst>
        </c:ser>
        <c:ser>
          <c:idx val="4"/>
          <c:order val="4"/>
          <c:tx>
            <c:strRef>
              <c:f>'Задание №5'!$E$20</c:f>
              <c:strCache>
                <c:ptCount val="1"/>
                <c:pt idx="0">
                  <c:v>-1,2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'Задание №5'!$F$15:$Z$15</c:f>
              <c:numCache>
                <c:formatCode>General</c:formatCode>
                <c:ptCount val="21"/>
                <c:pt idx="0">
                  <c:v>-2</c:v>
                </c:pt>
                <c:pt idx="1">
                  <c:v>-1.8</c:v>
                </c:pt>
                <c:pt idx="2">
                  <c:v>-1.6</c:v>
                </c:pt>
                <c:pt idx="3">
                  <c:v>-1.4</c:v>
                </c:pt>
                <c:pt idx="4">
                  <c:v>-1.2</c:v>
                </c:pt>
                <c:pt idx="5">
                  <c:v>-1</c:v>
                </c:pt>
                <c:pt idx="6">
                  <c:v>-0.8</c:v>
                </c:pt>
                <c:pt idx="7">
                  <c:v>-0.6</c:v>
                </c:pt>
                <c:pt idx="8">
                  <c:v>-0.4</c:v>
                </c:pt>
                <c:pt idx="9">
                  <c:v>-0.2</c:v>
                </c:pt>
                <c:pt idx="10">
                  <c:v>0</c:v>
                </c:pt>
                <c:pt idx="11">
                  <c:v>0.2</c:v>
                </c:pt>
                <c:pt idx="12">
                  <c:v>0.4</c:v>
                </c:pt>
                <c:pt idx="13">
                  <c:v>0.6</c:v>
                </c:pt>
                <c:pt idx="14">
                  <c:v>0.8</c:v>
                </c:pt>
                <c:pt idx="15">
                  <c:v>1</c:v>
                </c:pt>
                <c:pt idx="16">
                  <c:v>1.2</c:v>
                </c:pt>
                <c:pt idx="17">
                  <c:v>1.4</c:v>
                </c:pt>
                <c:pt idx="18">
                  <c:v>1.6</c:v>
                </c:pt>
                <c:pt idx="19">
                  <c:v>1.8</c:v>
                </c:pt>
                <c:pt idx="20">
                  <c:v>2</c:v>
                </c:pt>
              </c:numCache>
            </c:numRef>
          </c:cat>
          <c:val>
            <c:numRef>
              <c:f>'Задание №5'!$F$20:$Z$20</c:f>
              <c:numCache>
                <c:formatCode>General</c:formatCode>
                <c:ptCount val="21"/>
                <c:pt idx="0">
                  <c:v>715.27999999999975</c:v>
                </c:pt>
                <c:pt idx="1">
                  <c:v>633.90239999999994</c:v>
                </c:pt>
                <c:pt idx="2">
                  <c:v>562.10239999999988</c:v>
                </c:pt>
                <c:pt idx="3">
                  <c:v>498.57439999999986</c:v>
                </c:pt>
                <c:pt idx="4">
                  <c:v>442.1663999999999</c:v>
                </c:pt>
                <c:pt idx="5">
                  <c:v>391.87999999999988</c:v>
                </c:pt>
                <c:pt idx="6">
                  <c:v>346.8703999999999</c:v>
                </c:pt>
                <c:pt idx="7">
                  <c:v>306.44639999999987</c:v>
                </c:pt>
                <c:pt idx="8">
                  <c:v>270.07039999999995</c:v>
                </c:pt>
                <c:pt idx="9">
                  <c:v>237.35839999999996</c:v>
                </c:pt>
                <c:pt idx="10">
                  <c:v>208.07999999999996</c:v>
                </c:pt>
                <c:pt idx="11">
                  <c:v>182.15839999999997</c:v>
                </c:pt>
                <c:pt idx="12">
                  <c:v>159.67039999999997</c:v>
                </c:pt>
                <c:pt idx="13">
                  <c:v>140.84639999999996</c:v>
                </c:pt>
                <c:pt idx="14">
                  <c:v>126.07039999999998</c:v>
                </c:pt>
                <c:pt idx="15">
                  <c:v>115.87999999999997</c:v>
                </c:pt>
                <c:pt idx="16">
                  <c:v>110.96639999999996</c:v>
                </c:pt>
                <c:pt idx="17">
                  <c:v>112.17439999999996</c:v>
                </c:pt>
                <c:pt idx="18">
                  <c:v>120.50239999999999</c:v>
                </c:pt>
                <c:pt idx="19">
                  <c:v>137.10239999999999</c:v>
                </c:pt>
                <c:pt idx="20">
                  <c:v>163.27999999999997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A5-4C75-90CB-79779481E483}"/>
            </c:ext>
          </c:extLst>
        </c:ser>
        <c:ser>
          <c:idx val="5"/>
          <c:order val="5"/>
          <c:tx>
            <c:strRef>
              <c:f>'Задание №5'!$E$21</c:f>
              <c:strCache>
                <c:ptCount val="1"/>
                <c:pt idx="0">
                  <c:v>-1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Ref>
              <c:f>'Задание №5'!$F$15:$Z$15</c:f>
              <c:numCache>
                <c:formatCode>General</c:formatCode>
                <c:ptCount val="21"/>
                <c:pt idx="0">
                  <c:v>-2</c:v>
                </c:pt>
                <c:pt idx="1">
                  <c:v>-1.8</c:v>
                </c:pt>
                <c:pt idx="2">
                  <c:v>-1.6</c:v>
                </c:pt>
                <c:pt idx="3">
                  <c:v>-1.4</c:v>
                </c:pt>
                <c:pt idx="4">
                  <c:v>-1.2</c:v>
                </c:pt>
                <c:pt idx="5">
                  <c:v>-1</c:v>
                </c:pt>
                <c:pt idx="6">
                  <c:v>-0.8</c:v>
                </c:pt>
                <c:pt idx="7">
                  <c:v>-0.6</c:v>
                </c:pt>
                <c:pt idx="8">
                  <c:v>-0.4</c:v>
                </c:pt>
                <c:pt idx="9">
                  <c:v>-0.2</c:v>
                </c:pt>
                <c:pt idx="10">
                  <c:v>0</c:v>
                </c:pt>
                <c:pt idx="11">
                  <c:v>0.2</c:v>
                </c:pt>
                <c:pt idx="12">
                  <c:v>0.4</c:v>
                </c:pt>
                <c:pt idx="13">
                  <c:v>0.6</c:v>
                </c:pt>
                <c:pt idx="14">
                  <c:v>0.8</c:v>
                </c:pt>
                <c:pt idx="15">
                  <c:v>1</c:v>
                </c:pt>
                <c:pt idx="16">
                  <c:v>1.2</c:v>
                </c:pt>
                <c:pt idx="17">
                  <c:v>1.4</c:v>
                </c:pt>
                <c:pt idx="18">
                  <c:v>1.6</c:v>
                </c:pt>
                <c:pt idx="19">
                  <c:v>1.8</c:v>
                </c:pt>
                <c:pt idx="20">
                  <c:v>2</c:v>
                </c:pt>
              </c:numCache>
            </c:numRef>
          </c:cat>
          <c:val>
            <c:numRef>
              <c:f>'Задание №5'!$F$21:$Z$21</c:f>
              <c:numCache>
                <c:formatCode>General</c:formatCode>
                <c:ptCount val="21"/>
                <c:pt idx="0">
                  <c:v>584</c:v>
                </c:pt>
                <c:pt idx="1">
                  <c:v>512.91039999999998</c:v>
                </c:pt>
                <c:pt idx="2">
                  <c:v>450.69440000000003</c:v>
                </c:pt>
                <c:pt idx="3">
                  <c:v>396.04640000000001</c:v>
                </c:pt>
                <c:pt idx="4">
                  <c:v>347.81439999999998</c:v>
                </c:pt>
                <c:pt idx="5">
                  <c:v>305</c:v>
                </c:pt>
                <c:pt idx="6">
                  <c:v>266.75839999999999</c:v>
                </c:pt>
                <c:pt idx="7">
                  <c:v>232.39840000000001</c:v>
                </c:pt>
                <c:pt idx="8">
                  <c:v>201.38239999999999</c:v>
                </c:pt>
                <c:pt idx="9">
                  <c:v>173.32640000000001</c:v>
                </c:pt>
                <c:pt idx="10">
                  <c:v>148</c:v>
                </c:pt>
                <c:pt idx="11">
                  <c:v>125.32640000000001</c:v>
                </c:pt>
                <c:pt idx="12">
                  <c:v>105.3824</c:v>
                </c:pt>
                <c:pt idx="13">
                  <c:v>88.398399999999995</c:v>
                </c:pt>
                <c:pt idx="14">
                  <c:v>74.758399999999995</c:v>
                </c:pt>
                <c:pt idx="15">
                  <c:v>65</c:v>
                </c:pt>
                <c:pt idx="16">
                  <c:v>59.814399999999999</c:v>
                </c:pt>
                <c:pt idx="17">
                  <c:v>60.046399999999998</c:v>
                </c:pt>
                <c:pt idx="18">
                  <c:v>66.694400000000016</c:v>
                </c:pt>
                <c:pt idx="19">
                  <c:v>80.91040000000001</c:v>
                </c:pt>
                <c:pt idx="20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DA5-4C75-90CB-79779481E483}"/>
            </c:ext>
          </c:extLst>
        </c:ser>
        <c:ser>
          <c:idx val="6"/>
          <c:order val="6"/>
          <c:tx>
            <c:strRef>
              <c:f>'Задание №5'!$E$22</c:f>
              <c:strCache>
                <c:ptCount val="1"/>
                <c:pt idx="0">
                  <c:v>-0,8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numRef>
              <c:f>'Задание №5'!$F$15:$Z$15</c:f>
              <c:numCache>
                <c:formatCode>General</c:formatCode>
                <c:ptCount val="21"/>
                <c:pt idx="0">
                  <c:v>-2</c:v>
                </c:pt>
                <c:pt idx="1">
                  <c:v>-1.8</c:v>
                </c:pt>
                <c:pt idx="2">
                  <c:v>-1.6</c:v>
                </c:pt>
                <c:pt idx="3">
                  <c:v>-1.4</c:v>
                </c:pt>
                <c:pt idx="4">
                  <c:v>-1.2</c:v>
                </c:pt>
                <c:pt idx="5">
                  <c:v>-1</c:v>
                </c:pt>
                <c:pt idx="6">
                  <c:v>-0.8</c:v>
                </c:pt>
                <c:pt idx="7">
                  <c:v>-0.6</c:v>
                </c:pt>
                <c:pt idx="8">
                  <c:v>-0.4</c:v>
                </c:pt>
                <c:pt idx="9">
                  <c:v>-0.2</c:v>
                </c:pt>
                <c:pt idx="10">
                  <c:v>0</c:v>
                </c:pt>
                <c:pt idx="11">
                  <c:v>0.2</c:v>
                </c:pt>
                <c:pt idx="12">
                  <c:v>0.4</c:v>
                </c:pt>
                <c:pt idx="13">
                  <c:v>0.6</c:v>
                </c:pt>
                <c:pt idx="14">
                  <c:v>0.8</c:v>
                </c:pt>
                <c:pt idx="15">
                  <c:v>1</c:v>
                </c:pt>
                <c:pt idx="16">
                  <c:v>1.2</c:v>
                </c:pt>
                <c:pt idx="17">
                  <c:v>1.4</c:v>
                </c:pt>
                <c:pt idx="18">
                  <c:v>1.6</c:v>
                </c:pt>
                <c:pt idx="19">
                  <c:v>1.8</c:v>
                </c:pt>
                <c:pt idx="20">
                  <c:v>2</c:v>
                </c:pt>
              </c:numCache>
            </c:numRef>
          </c:cat>
          <c:val>
            <c:numRef>
              <c:f>'Задание №5'!$F$22:$Z$22</c:f>
              <c:numCache>
                <c:formatCode>General</c:formatCode>
                <c:ptCount val="21"/>
                <c:pt idx="0">
                  <c:v>475.28</c:v>
                </c:pt>
                <c:pt idx="1">
                  <c:v>413.26240000000001</c:v>
                </c:pt>
                <c:pt idx="2">
                  <c:v>359.54239999999999</c:v>
                </c:pt>
                <c:pt idx="3">
                  <c:v>312.81439999999998</c:v>
                </c:pt>
                <c:pt idx="4">
                  <c:v>271.9264</c:v>
                </c:pt>
                <c:pt idx="5">
                  <c:v>235.88</c:v>
                </c:pt>
                <c:pt idx="6">
                  <c:v>203.8304</c:v>
                </c:pt>
                <c:pt idx="7">
                  <c:v>175.08639999999997</c:v>
                </c:pt>
                <c:pt idx="8">
                  <c:v>149.11039999999997</c:v>
                </c:pt>
                <c:pt idx="9">
                  <c:v>125.51839999999999</c:v>
                </c:pt>
                <c:pt idx="10">
                  <c:v>104.08</c:v>
                </c:pt>
                <c:pt idx="11">
                  <c:v>84.718399999999988</c:v>
                </c:pt>
                <c:pt idx="12">
                  <c:v>67.51039999999999</c:v>
                </c:pt>
                <c:pt idx="13">
                  <c:v>52.686400000000006</c:v>
                </c:pt>
                <c:pt idx="14">
                  <c:v>40.630400000000009</c:v>
                </c:pt>
                <c:pt idx="15">
                  <c:v>31.880000000000006</c:v>
                </c:pt>
                <c:pt idx="16">
                  <c:v>27.1264</c:v>
                </c:pt>
                <c:pt idx="17">
                  <c:v>27.214400000000001</c:v>
                </c:pt>
                <c:pt idx="18">
                  <c:v>33.142400000000023</c:v>
                </c:pt>
                <c:pt idx="19">
                  <c:v>46.062400000000018</c:v>
                </c:pt>
                <c:pt idx="20">
                  <c:v>67.28000000000003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A5-4C75-90CB-79779481E483}"/>
            </c:ext>
          </c:extLst>
        </c:ser>
        <c:ser>
          <c:idx val="7"/>
          <c:order val="7"/>
          <c:tx>
            <c:strRef>
              <c:f>'Задание №5'!$E$23</c:f>
              <c:strCache>
                <c:ptCount val="1"/>
                <c:pt idx="0">
                  <c:v>-0,6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cat>
            <c:numRef>
              <c:f>'Задание №5'!$F$15:$Z$15</c:f>
              <c:numCache>
                <c:formatCode>General</c:formatCode>
                <c:ptCount val="21"/>
                <c:pt idx="0">
                  <c:v>-2</c:v>
                </c:pt>
                <c:pt idx="1">
                  <c:v>-1.8</c:v>
                </c:pt>
                <c:pt idx="2">
                  <c:v>-1.6</c:v>
                </c:pt>
                <c:pt idx="3">
                  <c:v>-1.4</c:v>
                </c:pt>
                <c:pt idx="4">
                  <c:v>-1.2</c:v>
                </c:pt>
                <c:pt idx="5">
                  <c:v>-1</c:v>
                </c:pt>
                <c:pt idx="6">
                  <c:v>-0.8</c:v>
                </c:pt>
                <c:pt idx="7">
                  <c:v>-0.6</c:v>
                </c:pt>
                <c:pt idx="8">
                  <c:v>-0.4</c:v>
                </c:pt>
                <c:pt idx="9">
                  <c:v>-0.2</c:v>
                </c:pt>
                <c:pt idx="10">
                  <c:v>0</c:v>
                </c:pt>
                <c:pt idx="11">
                  <c:v>0.2</c:v>
                </c:pt>
                <c:pt idx="12">
                  <c:v>0.4</c:v>
                </c:pt>
                <c:pt idx="13">
                  <c:v>0.6</c:v>
                </c:pt>
                <c:pt idx="14">
                  <c:v>0.8</c:v>
                </c:pt>
                <c:pt idx="15">
                  <c:v>1</c:v>
                </c:pt>
                <c:pt idx="16">
                  <c:v>1.2</c:v>
                </c:pt>
                <c:pt idx="17">
                  <c:v>1.4</c:v>
                </c:pt>
                <c:pt idx="18">
                  <c:v>1.6</c:v>
                </c:pt>
                <c:pt idx="19">
                  <c:v>1.8</c:v>
                </c:pt>
                <c:pt idx="20">
                  <c:v>2</c:v>
                </c:pt>
              </c:numCache>
            </c:numRef>
          </c:cat>
          <c:val>
            <c:numRef>
              <c:f>'Задание №5'!$F$23:$Z$23</c:f>
              <c:numCache>
                <c:formatCode>General</c:formatCode>
                <c:ptCount val="21"/>
                <c:pt idx="0">
                  <c:v>384.79999999999995</c:v>
                </c:pt>
                <c:pt idx="1">
                  <c:v>330.63839999999993</c:v>
                </c:pt>
                <c:pt idx="2">
                  <c:v>284.32639999999998</c:v>
                </c:pt>
                <c:pt idx="3">
                  <c:v>244.55839999999995</c:v>
                </c:pt>
                <c:pt idx="4">
                  <c:v>210.18239999999994</c:v>
                </c:pt>
                <c:pt idx="5">
                  <c:v>180.19999999999996</c:v>
                </c:pt>
                <c:pt idx="6">
                  <c:v>153.76639999999998</c:v>
                </c:pt>
                <c:pt idx="7">
                  <c:v>130.19039999999998</c:v>
                </c:pt>
                <c:pt idx="8">
                  <c:v>108.93439999999997</c:v>
                </c:pt>
                <c:pt idx="9">
                  <c:v>89.614399999999975</c:v>
                </c:pt>
                <c:pt idx="10">
                  <c:v>71.999999999999972</c:v>
                </c:pt>
                <c:pt idx="11">
                  <c:v>56.014399999999988</c:v>
                </c:pt>
                <c:pt idx="12">
                  <c:v>41.734399999999994</c:v>
                </c:pt>
                <c:pt idx="13">
                  <c:v>29.390399999999993</c:v>
                </c:pt>
                <c:pt idx="14">
                  <c:v>19.366399999999995</c:v>
                </c:pt>
                <c:pt idx="15">
                  <c:v>12.199999999999996</c:v>
                </c:pt>
                <c:pt idx="16">
                  <c:v>8.5823999999999963</c:v>
                </c:pt>
                <c:pt idx="17">
                  <c:v>9.3583999999999925</c:v>
                </c:pt>
                <c:pt idx="18">
                  <c:v>15.526400000000006</c:v>
                </c:pt>
                <c:pt idx="19">
                  <c:v>28.238400000000013</c:v>
                </c:pt>
                <c:pt idx="20">
                  <c:v>48.800000000000011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DA5-4C75-90CB-79779481E483}"/>
            </c:ext>
          </c:extLst>
        </c:ser>
        <c:ser>
          <c:idx val="8"/>
          <c:order val="8"/>
          <c:tx>
            <c:strRef>
              <c:f>'Задание №5'!$E$24</c:f>
              <c:strCache>
                <c:ptCount val="1"/>
                <c:pt idx="0">
                  <c:v>-0,4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cat>
            <c:numRef>
              <c:f>'Задание №5'!$F$15:$Z$15</c:f>
              <c:numCache>
                <c:formatCode>General</c:formatCode>
                <c:ptCount val="21"/>
                <c:pt idx="0">
                  <c:v>-2</c:v>
                </c:pt>
                <c:pt idx="1">
                  <c:v>-1.8</c:v>
                </c:pt>
                <c:pt idx="2">
                  <c:v>-1.6</c:v>
                </c:pt>
                <c:pt idx="3">
                  <c:v>-1.4</c:v>
                </c:pt>
                <c:pt idx="4">
                  <c:v>-1.2</c:v>
                </c:pt>
                <c:pt idx="5">
                  <c:v>-1</c:v>
                </c:pt>
                <c:pt idx="6">
                  <c:v>-0.8</c:v>
                </c:pt>
                <c:pt idx="7">
                  <c:v>-0.6</c:v>
                </c:pt>
                <c:pt idx="8">
                  <c:v>-0.4</c:v>
                </c:pt>
                <c:pt idx="9">
                  <c:v>-0.2</c:v>
                </c:pt>
                <c:pt idx="10">
                  <c:v>0</c:v>
                </c:pt>
                <c:pt idx="11">
                  <c:v>0.2</c:v>
                </c:pt>
                <c:pt idx="12">
                  <c:v>0.4</c:v>
                </c:pt>
                <c:pt idx="13">
                  <c:v>0.6</c:v>
                </c:pt>
                <c:pt idx="14">
                  <c:v>0.8</c:v>
                </c:pt>
                <c:pt idx="15">
                  <c:v>1</c:v>
                </c:pt>
                <c:pt idx="16">
                  <c:v>1.2</c:v>
                </c:pt>
                <c:pt idx="17">
                  <c:v>1.4</c:v>
                </c:pt>
                <c:pt idx="18">
                  <c:v>1.6</c:v>
                </c:pt>
                <c:pt idx="19">
                  <c:v>1.8</c:v>
                </c:pt>
                <c:pt idx="20">
                  <c:v>2</c:v>
                </c:pt>
              </c:numCache>
            </c:numRef>
          </c:cat>
          <c:val>
            <c:numRef>
              <c:f>'Задание №5'!$F$24:$Z$24</c:f>
              <c:numCache>
                <c:formatCode>General</c:formatCode>
                <c:ptCount val="21"/>
                <c:pt idx="0">
                  <c:v>309.20000000000005</c:v>
                </c:pt>
                <c:pt idx="1">
                  <c:v>261.67840000000001</c:v>
                </c:pt>
                <c:pt idx="2">
                  <c:v>221.68639999999999</c:v>
                </c:pt>
                <c:pt idx="3">
                  <c:v>187.91839999999999</c:v>
                </c:pt>
                <c:pt idx="4">
                  <c:v>159.22239999999999</c:v>
                </c:pt>
                <c:pt idx="5">
                  <c:v>134.6</c:v>
                </c:pt>
                <c:pt idx="6">
                  <c:v>113.2064</c:v>
                </c:pt>
                <c:pt idx="7">
                  <c:v>94.350399999999993</c:v>
                </c:pt>
                <c:pt idx="8">
                  <c:v>77.494399999999999</c:v>
                </c:pt>
                <c:pt idx="9">
                  <c:v>62.254399999999997</c:v>
                </c:pt>
                <c:pt idx="10">
                  <c:v>48.399999999999991</c:v>
                </c:pt>
                <c:pt idx="11">
                  <c:v>35.854399999999998</c:v>
                </c:pt>
                <c:pt idx="12">
                  <c:v>24.694399999999995</c:v>
                </c:pt>
                <c:pt idx="13">
                  <c:v>15.150400000000001</c:v>
                </c:pt>
                <c:pt idx="14">
                  <c:v>7.6063999999999998</c:v>
                </c:pt>
                <c:pt idx="15">
                  <c:v>2.6000000000000005</c:v>
                </c:pt>
                <c:pt idx="16">
                  <c:v>0.82240000000000024</c:v>
                </c:pt>
                <c:pt idx="17">
                  <c:v>3.1183999999999994</c:v>
                </c:pt>
                <c:pt idx="18">
                  <c:v>10.486400000000005</c:v>
                </c:pt>
                <c:pt idx="19">
                  <c:v>24.078400000000002</c:v>
                </c:pt>
                <c:pt idx="20">
                  <c:v>45.20000000000001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DA5-4C75-90CB-79779481E483}"/>
            </c:ext>
          </c:extLst>
        </c:ser>
        <c:ser>
          <c:idx val="9"/>
          <c:order val="9"/>
          <c:tx>
            <c:strRef>
              <c:f>'Задание №5'!$E$25</c:f>
              <c:strCache>
                <c:ptCount val="1"/>
                <c:pt idx="0">
                  <c:v>-0,2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cat>
            <c:numRef>
              <c:f>'Задание №5'!$F$15:$Z$15</c:f>
              <c:numCache>
                <c:formatCode>General</c:formatCode>
                <c:ptCount val="21"/>
                <c:pt idx="0">
                  <c:v>-2</c:v>
                </c:pt>
                <c:pt idx="1">
                  <c:v>-1.8</c:v>
                </c:pt>
                <c:pt idx="2">
                  <c:v>-1.6</c:v>
                </c:pt>
                <c:pt idx="3">
                  <c:v>-1.4</c:v>
                </c:pt>
                <c:pt idx="4">
                  <c:v>-1.2</c:v>
                </c:pt>
                <c:pt idx="5">
                  <c:v>-1</c:v>
                </c:pt>
                <c:pt idx="6">
                  <c:v>-0.8</c:v>
                </c:pt>
                <c:pt idx="7">
                  <c:v>-0.6</c:v>
                </c:pt>
                <c:pt idx="8">
                  <c:v>-0.4</c:v>
                </c:pt>
                <c:pt idx="9">
                  <c:v>-0.2</c:v>
                </c:pt>
                <c:pt idx="10">
                  <c:v>0</c:v>
                </c:pt>
                <c:pt idx="11">
                  <c:v>0.2</c:v>
                </c:pt>
                <c:pt idx="12">
                  <c:v>0.4</c:v>
                </c:pt>
                <c:pt idx="13">
                  <c:v>0.6</c:v>
                </c:pt>
                <c:pt idx="14">
                  <c:v>0.8</c:v>
                </c:pt>
                <c:pt idx="15">
                  <c:v>1</c:v>
                </c:pt>
                <c:pt idx="16">
                  <c:v>1.2</c:v>
                </c:pt>
                <c:pt idx="17">
                  <c:v>1.4</c:v>
                </c:pt>
                <c:pt idx="18">
                  <c:v>1.6</c:v>
                </c:pt>
                <c:pt idx="19">
                  <c:v>1.8</c:v>
                </c:pt>
                <c:pt idx="20">
                  <c:v>2</c:v>
                </c:pt>
              </c:numCache>
            </c:numRef>
          </c:cat>
          <c:val>
            <c:numRef>
              <c:f>'Задание №5'!$F$25:$Z$25</c:f>
              <c:numCache>
                <c:formatCode>General</c:formatCode>
                <c:ptCount val="21"/>
                <c:pt idx="0">
                  <c:v>246.08</c:v>
                </c:pt>
                <c:pt idx="1">
                  <c:v>203.98240000000004</c:v>
                </c:pt>
                <c:pt idx="2">
                  <c:v>169.22240000000005</c:v>
                </c:pt>
                <c:pt idx="3">
                  <c:v>140.49440000000001</c:v>
                </c:pt>
                <c:pt idx="4">
                  <c:v>116.64640000000001</c:v>
                </c:pt>
                <c:pt idx="5">
                  <c:v>96.680000000000021</c:v>
                </c:pt>
                <c:pt idx="6">
                  <c:v>79.750400000000013</c:v>
                </c:pt>
                <c:pt idx="7">
                  <c:v>65.166399999999996</c:v>
                </c:pt>
                <c:pt idx="8">
                  <c:v>52.390399999999993</c:v>
                </c:pt>
                <c:pt idx="9">
                  <c:v>41.038399999999996</c:v>
                </c:pt>
                <c:pt idx="10">
                  <c:v>30.88</c:v>
                </c:pt>
                <c:pt idx="11">
                  <c:v>21.8384</c:v>
                </c:pt>
                <c:pt idx="12">
                  <c:v>13.990399999999999</c:v>
                </c:pt>
                <c:pt idx="13">
                  <c:v>7.5664000000000007</c:v>
                </c:pt>
                <c:pt idx="14">
                  <c:v>2.9503999999999992</c:v>
                </c:pt>
                <c:pt idx="15">
                  <c:v>0.67999999999999972</c:v>
                </c:pt>
                <c:pt idx="16">
                  <c:v>1.4464000000000004</c:v>
                </c:pt>
                <c:pt idx="17">
                  <c:v>6.0943999999999985</c:v>
                </c:pt>
                <c:pt idx="18">
                  <c:v>15.622400000000008</c:v>
                </c:pt>
                <c:pt idx="19">
                  <c:v>31.182400000000005</c:v>
                </c:pt>
                <c:pt idx="20">
                  <c:v>54.079999999999984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DA5-4C75-90CB-79779481E483}"/>
            </c:ext>
          </c:extLst>
        </c:ser>
        <c:ser>
          <c:idx val="10"/>
          <c:order val="10"/>
          <c:tx>
            <c:strRef>
              <c:f>'Задание №5'!$E$26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cat>
            <c:numRef>
              <c:f>'Задание №5'!$F$15:$Z$15</c:f>
              <c:numCache>
                <c:formatCode>General</c:formatCode>
                <c:ptCount val="21"/>
                <c:pt idx="0">
                  <c:v>-2</c:v>
                </c:pt>
                <c:pt idx="1">
                  <c:v>-1.8</c:v>
                </c:pt>
                <c:pt idx="2">
                  <c:v>-1.6</c:v>
                </c:pt>
                <c:pt idx="3">
                  <c:v>-1.4</c:v>
                </c:pt>
                <c:pt idx="4">
                  <c:v>-1.2</c:v>
                </c:pt>
                <c:pt idx="5">
                  <c:v>-1</c:v>
                </c:pt>
                <c:pt idx="6">
                  <c:v>-0.8</c:v>
                </c:pt>
                <c:pt idx="7">
                  <c:v>-0.6</c:v>
                </c:pt>
                <c:pt idx="8">
                  <c:v>-0.4</c:v>
                </c:pt>
                <c:pt idx="9">
                  <c:v>-0.2</c:v>
                </c:pt>
                <c:pt idx="10">
                  <c:v>0</c:v>
                </c:pt>
                <c:pt idx="11">
                  <c:v>0.2</c:v>
                </c:pt>
                <c:pt idx="12">
                  <c:v>0.4</c:v>
                </c:pt>
                <c:pt idx="13">
                  <c:v>0.6</c:v>
                </c:pt>
                <c:pt idx="14">
                  <c:v>0.8</c:v>
                </c:pt>
                <c:pt idx="15">
                  <c:v>1</c:v>
                </c:pt>
                <c:pt idx="16">
                  <c:v>1.2</c:v>
                </c:pt>
                <c:pt idx="17">
                  <c:v>1.4</c:v>
                </c:pt>
                <c:pt idx="18">
                  <c:v>1.6</c:v>
                </c:pt>
                <c:pt idx="19">
                  <c:v>1.8</c:v>
                </c:pt>
                <c:pt idx="20">
                  <c:v>2</c:v>
                </c:pt>
              </c:numCache>
            </c:numRef>
          </c:cat>
          <c:val>
            <c:numRef>
              <c:f>'Задание №5'!$F$26:$Z$26</c:f>
              <c:numCache>
                <c:formatCode>General</c:formatCode>
                <c:ptCount val="21"/>
                <c:pt idx="0">
                  <c:v>194</c:v>
                </c:pt>
                <c:pt idx="1">
                  <c:v>156.1104</c:v>
                </c:pt>
                <c:pt idx="2">
                  <c:v>125.4944</c:v>
                </c:pt>
                <c:pt idx="3">
                  <c:v>100.8464</c:v>
                </c:pt>
                <c:pt idx="4">
                  <c:v>81.014399999999995</c:v>
                </c:pt>
                <c:pt idx="5">
                  <c:v>65</c:v>
                </c:pt>
                <c:pt idx="6">
                  <c:v>51.958399999999997</c:v>
                </c:pt>
                <c:pt idx="7">
                  <c:v>41.198399999999999</c:v>
                </c:pt>
                <c:pt idx="8">
                  <c:v>32.182400000000001</c:v>
                </c:pt>
                <c:pt idx="9">
                  <c:v>24.526399999999999</c:v>
                </c:pt>
                <c:pt idx="10">
                  <c:v>18</c:v>
                </c:pt>
                <c:pt idx="11">
                  <c:v>12.526399999999999</c:v>
                </c:pt>
                <c:pt idx="12">
                  <c:v>8.1823999999999977</c:v>
                </c:pt>
                <c:pt idx="13">
                  <c:v>5.1984000000000012</c:v>
                </c:pt>
                <c:pt idx="14">
                  <c:v>3.9583999999999993</c:v>
                </c:pt>
                <c:pt idx="15">
                  <c:v>5</c:v>
                </c:pt>
                <c:pt idx="16">
                  <c:v>9.0144000000000002</c:v>
                </c:pt>
                <c:pt idx="17">
                  <c:v>16.846399999999999</c:v>
                </c:pt>
                <c:pt idx="18">
                  <c:v>29.494400000000006</c:v>
                </c:pt>
                <c:pt idx="19">
                  <c:v>48.110400000000006</c:v>
                </c:pt>
                <c:pt idx="20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DA5-4C75-90CB-79779481E483}"/>
            </c:ext>
          </c:extLst>
        </c:ser>
        <c:ser>
          <c:idx val="11"/>
          <c:order val="11"/>
          <c:tx>
            <c:strRef>
              <c:f>'Задание №5'!$E$27</c:f>
              <c:strCache>
                <c:ptCount val="1"/>
                <c:pt idx="0">
                  <c:v>0,2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cat>
            <c:numRef>
              <c:f>'Задание №5'!$F$15:$Z$15</c:f>
              <c:numCache>
                <c:formatCode>General</c:formatCode>
                <c:ptCount val="21"/>
                <c:pt idx="0">
                  <c:v>-2</c:v>
                </c:pt>
                <c:pt idx="1">
                  <c:v>-1.8</c:v>
                </c:pt>
                <c:pt idx="2">
                  <c:v>-1.6</c:v>
                </c:pt>
                <c:pt idx="3">
                  <c:v>-1.4</c:v>
                </c:pt>
                <c:pt idx="4">
                  <c:v>-1.2</c:v>
                </c:pt>
                <c:pt idx="5">
                  <c:v>-1</c:v>
                </c:pt>
                <c:pt idx="6">
                  <c:v>-0.8</c:v>
                </c:pt>
                <c:pt idx="7">
                  <c:v>-0.6</c:v>
                </c:pt>
                <c:pt idx="8">
                  <c:v>-0.4</c:v>
                </c:pt>
                <c:pt idx="9">
                  <c:v>-0.2</c:v>
                </c:pt>
                <c:pt idx="10">
                  <c:v>0</c:v>
                </c:pt>
                <c:pt idx="11">
                  <c:v>0.2</c:v>
                </c:pt>
                <c:pt idx="12">
                  <c:v>0.4</c:v>
                </c:pt>
                <c:pt idx="13">
                  <c:v>0.6</c:v>
                </c:pt>
                <c:pt idx="14">
                  <c:v>0.8</c:v>
                </c:pt>
                <c:pt idx="15">
                  <c:v>1</c:v>
                </c:pt>
                <c:pt idx="16">
                  <c:v>1.2</c:v>
                </c:pt>
                <c:pt idx="17">
                  <c:v>1.4</c:v>
                </c:pt>
                <c:pt idx="18">
                  <c:v>1.6</c:v>
                </c:pt>
                <c:pt idx="19">
                  <c:v>1.8</c:v>
                </c:pt>
                <c:pt idx="20">
                  <c:v>2</c:v>
                </c:pt>
              </c:numCache>
            </c:numRef>
          </c:cat>
          <c:val>
            <c:numRef>
              <c:f>'Задание №5'!$F$27:$Z$27</c:f>
              <c:numCache>
                <c:formatCode>General</c:formatCode>
                <c:ptCount val="21"/>
                <c:pt idx="0">
                  <c:v>152.47999999999996</c:v>
                </c:pt>
                <c:pt idx="1">
                  <c:v>117.58239999999999</c:v>
                </c:pt>
                <c:pt idx="2">
                  <c:v>90.02239999999999</c:v>
                </c:pt>
                <c:pt idx="3">
                  <c:v>68.494399999999999</c:v>
                </c:pt>
                <c:pt idx="4">
                  <c:v>51.846400000000003</c:v>
                </c:pt>
                <c:pt idx="5">
                  <c:v>39.080000000000005</c:v>
                </c:pt>
                <c:pt idx="6">
                  <c:v>29.3504</c:v>
                </c:pt>
                <c:pt idx="7">
                  <c:v>21.9664</c:v>
                </c:pt>
                <c:pt idx="8">
                  <c:v>16.390400000000003</c:v>
                </c:pt>
                <c:pt idx="9">
                  <c:v>12.238399999999999</c:v>
                </c:pt>
                <c:pt idx="10">
                  <c:v>9.2799999999999994</c:v>
                </c:pt>
                <c:pt idx="11">
                  <c:v>7.4383999999999988</c:v>
                </c:pt>
                <c:pt idx="12">
                  <c:v>6.7904</c:v>
                </c:pt>
                <c:pt idx="13">
                  <c:v>7.5663999999999998</c:v>
                </c:pt>
                <c:pt idx="14">
                  <c:v>10.150399999999998</c:v>
                </c:pt>
                <c:pt idx="15">
                  <c:v>15.079999999999998</c:v>
                </c:pt>
                <c:pt idx="16">
                  <c:v>23.046399999999998</c:v>
                </c:pt>
                <c:pt idx="17">
                  <c:v>34.894400000000005</c:v>
                </c:pt>
                <c:pt idx="18">
                  <c:v>51.622400000000013</c:v>
                </c:pt>
                <c:pt idx="19">
                  <c:v>74.382400000000018</c:v>
                </c:pt>
                <c:pt idx="20">
                  <c:v>104.48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DA5-4C75-90CB-79779481E483}"/>
            </c:ext>
          </c:extLst>
        </c:ser>
        <c:ser>
          <c:idx val="12"/>
          <c:order val="12"/>
          <c:tx>
            <c:strRef>
              <c:f>'Задание №5'!$E$28</c:f>
              <c:strCache>
                <c:ptCount val="1"/>
                <c:pt idx="0">
                  <c:v>0,4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'Задание №5'!$F$15:$Z$15</c:f>
              <c:numCache>
                <c:formatCode>General</c:formatCode>
                <c:ptCount val="21"/>
                <c:pt idx="0">
                  <c:v>-2</c:v>
                </c:pt>
                <c:pt idx="1">
                  <c:v>-1.8</c:v>
                </c:pt>
                <c:pt idx="2">
                  <c:v>-1.6</c:v>
                </c:pt>
                <c:pt idx="3">
                  <c:v>-1.4</c:v>
                </c:pt>
                <c:pt idx="4">
                  <c:v>-1.2</c:v>
                </c:pt>
                <c:pt idx="5">
                  <c:v>-1</c:v>
                </c:pt>
                <c:pt idx="6">
                  <c:v>-0.8</c:v>
                </c:pt>
                <c:pt idx="7">
                  <c:v>-0.6</c:v>
                </c:pt>
                <c:pt idx="8">
                  <c:v>-0.4</c:v>
                </c:pt>
                <c:pt idx="9">
                  <c:v>-0.2</c:v>
                </c:pt>
                <c:pt idx="10">
                  <c:v>0</c:v>
                </c:pt>
                <c:pt idx="11">
                  <c:v>0.2</c:v>
                </c:pt>
                <c:pt idx="12">
                  <c:v>0.4</c:v>
                </c:pt>
                <c:pt idx="13">
                  <c:v>0.6</c:v>
                </c:pt>
                <c:pt idx="14">
                  <c:v>0.8</c:v>
                </c:pt>
                <c:pt idx="15">
                  <c:v>1</c:v>
                </c:pt>
                <c:pt idx="16">
                  <c:v>1.2</c:v>
                </c:pt>
                <c:pt idx="17">
                  <c:v>1.4</c:v>
                </c:pt>
                <c:pt idx="18">
                  <c:v>1.6</c:v>
                </c:pt>
                <c:pt idx="19">
                  <c:v>1.8</c:v>
                </c:pt>
                <c:pt idx="20">
                  <c:v>2</c:v>
                </c:pt>
              </c:numCache>
            </c:numRef>
          </c:cat>
          <c:val>
            <c:numRef>
              <c:f>'Задание №5'!$F$28:$Z$28</c:f>
              <c:numCache>
                <c:formatCode>General</c:formatCode>
                <c:ptCount val="21"/>
                <c:pt idx="0">
                  <c:v>122.00000000000003</c:v>
                </c:pt>
                <c:pt idx="1">
                  <c:v>88.878399999999999</c:v>
                </c:pt>
                <c:pt idx="2">
                  <c:v>63.286400000000008</c:v>
                </c:pt>
                <c:pt idx="3">
                  <c:v>43.918400000000005</c:v>
                </c:pt>
                <c:pt idx="4">
                  <c:v>29.622400000000003</c:v>
                </c:pt>
                <c:pt idx="5">
                  <c:v>19.400000000000002</c:v>
                </c:pt>
                <c:pt idx="6">
                  <c:v>12.406399999999998</c:v>
                </c:pt>
                <c:pt idx="7">
                  <c:v>7.9504000000000001</c:v>
                </c:pt>
                <c:pt idx="8">
                  <c:v>5.4943999999999997</c:v>
                </c:pt>
                <c:pt idx="9">
                  <c:v>4.6544000000000008</c:v>
                </c:pt>
                <c:pt idx="10">
                  <c:v>5.1999999999999993</c:v>
                </c:pt>
                <c:pt idx="11">
                  <c:v>7.0543999999999993</c:v>
                </c:pt>
                <c:pt idx="12">
                  <c:v>10.294399999999998</c:v>
                </c:pt>
                <c:pt idx="13">
                  <c:v>15.150399999999998</c:v>
                </c:pt>
                <c:pt idx="14">
                  <c:v>22.006399999999996</c:v>
                </c:pt>
                <c:pt idx="15">
                  <c:v>31.399999999999995</c:v>
                </c:pt>
                <c:pt idx="16">
                  <c:v>44.022399999999998</c:v>
                </c:pt>
                <c:pt idx="17">
                  <c:v>60.718399999999995</c:v>
                </c:pt>
                <c:pt idx="18">
                  <c:v>82.486400000000003</c:v>
                </c:pt>
                <c:pt idx="19">
                  <c:v>110.47839999999999</c:v>
                </c:pt>
                <c:pt idx="20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DA5-4C75-90CB-79779481E483}"/>
            </c:ext>
          </c:extLst>
        </c:ser>
        <c:ser>
          <c:idx val="13"/>
          <c:order val="13"/>
          <c:tx>
            <c:strRef>
              <c:f>'Задание №5'!$E$29</c:f>
              <c:strCache>
                <c:ptCount val="1"/>
                <c:pt idx="0">
                  <c:v>0,6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'Задание №5'!$F$15:$Z$15</c:f>
              <c:numCache>
                <c:formatCode>General</c:formatCode>
                <c:ptCount val="21"/>
                <c:pt idx="0">
                  <c:v>-2</c:v>
                </c:pt>
                <c:pt idx="1">
                  <c:v>-1.8</c:v>
                </c:pt>
                <c:pt idx="2">
                  <c:v>-1.6</c:v>
                </c:pt>
                <c:pt idx="3">
                  <c:v>-1.4</c:v>
                </c:pt>
                <c:pt idx="4">
                  <c:v>-1.2</c:v>
                </c:pt>
                <c:pt idx="5">
                  <c:v>-1</c:v>
                </c:pt>
                <c:pt idx="6">
                  <c:v>-0.8</c:v>
                </c:pt>
                <c:pt idx="7">
                  <c:v>-0.6</c:v>
                </c:pt>
                <c:pt idx="8">
                  <c:v>-0.4</c:v>
                </c:pt>
                <c:pt idx="9">
                  <c:v>-0.2</c:v>
                </c:pt>
                <c:pt idx="10">
                  <c:v>0</c:v>
                </c:pt>
                <c:pt idx="11">
                  <c:v>0.2</c:v>
                </c:pt>
                <c:pt idx="12">
                  <c:v>0.4</c:v>
                </c:pt>
                <c:pt idx="13">
                  <c:v>0.6</c:v>
                </c:pt>
                <c:pt idx="14">
                  <c:v>0.8</c:v>
                </c:pt>
                <c:pt idx="15">
                  <c:v>1</c:v>
                </c:pt>
                <c:pt idx="16">
                  <c:v>1.2</c:v>
                </c:pt>
                <c:pt idx="17">
                  <c:v>1.4</c:v>
                </c:pt>
                <c:pt idx="18">
                  <c:v>1.6</c:v>
                </c:pt>
                <c:pt idx="19">
                  <c:v>1.8</c:v>
                </c:pt>
                <c:pt idx="20">
                  <c:v>2</c:v>
                </c:pt>
              </c:numCache>
            </c:numRef>
          </c:cat>
          <c:val>
            <c:numRef>
              <c:f>'Задание №5'!$F$29:$Z$29</c:f>
              <c:numCache>
                <c:formatCode>General</c:formatCode>
                <c:ptCount val="21"/>
                <c:pt idx="0">
                  <c:v>104.00000000000001</c:v>
                </c:pt>
                <c:pt idx="1">
                  <c:v>71.43840000000003</c:v>
                </c:pt>
                <c:pt idx="2">
                  <c:v>46.726400000000012</c:v>
                </c:pt>
                <c:pt idx="3">
                  <c:v>28.558399999999999</c:v>
                </c:pt>
                <c:pt idx="4">
                  <c:v>15.782400000000003</c:v>
                </c:pt>
                <c:pt idx="5">
                  <c:v>7.4000000000000021</c:v>
                </c:pt>
                <c:pt idx="6">
                  <c:v>2.566400000000002</c:v>
                </c:pt>
                <c:pt idx="7">
                  <c:v>0.59040000000000104</c:v>
                </c:pt>
                <c:pt idx="8">
                  <c:v>0.93439999999999945</c:v>
                </c:pt>
                <c:pt idx="9">
                  <c:v>3.2143999999999986</c:v>
                </c:pt>
                <c:pt idx="10">
                  <c:v>7.1999999999999975</c:v>
                </c:pt>
                <c:pt idx="11">
                  <c:v>12.814399999999997</c:v>
                </c:pt>
                <c:pt idx="12">
                  <c:v>20.134399999999996</c:v>
                </c:pt>
                <c:pt idx="13">
                  <c:v>29.390399999999985</c:v>
                </c:pt>
                <c:pt idx="14">
                  <c:v>40.966399999999979</c:v>
                </c:pt>
                <c:pt idx="15">
                  <c:v>55.399999999999977</c:v>
                </c:pt>
                <c:pt idx="16">
                  <c:v>73.382399999999976</c:v>
                </c:pt>
                <c:pt idx="17">
                  <c:v>95.758399999999966</c:v>
                </c:pt>
                <c:pt idx="18">
                  <c:v>123.52639999999997</c:v>
                </c:pt>
                <c:pt idx="19">
                  <c:v>157.83839999999998</c:v>
                </c:pt>
                <c:pt idx="20">
                  <c:v>199.99999999999997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DA5-4C75-90CB-79779481E483}"/>
            </c:ext>
          </c:extLst>
        </c:ser>
        <c:ser>
          <c:idx val="14"/>
          <c:order val="14"/>
          <c:tx>
            <c:strRef>
              <c:f>'Задание №5'!$E$30</c:f>
              <c:strCache>
                <c:ptCount val="1"/>
                <c:pt idx="0">
                  <c:v>0,8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'Задание №5'!$F$15:$Z$15</c:f>
              <c:numCache>
                <c:formatCode>General</c:formatCode>
                <c:ptCount val="21"/>
                <c:pt idx="0">
                  <c:v>-2</c:v>
                </c:pt>
                <c:pt idx="1">
                  <c:v>-1.8</c:v>
                </c:pt>
                <c:pt idx="2">
                  <c:v>-1.6</c:v>
                </c:pt>
                <c:pt idx="3">
                  <c:v>-1.4</c:v>
                </c:pt>
                <c:pt idx="4">
                  <c:v>-1.2</c:v>
                </c:pt>
                <c:pt idx="5">
                  <c:v>-1</c:v>
                </c:pt>
                <c:pt idx="6">
                  <c:v>-0.8</c:v>
                </c:pt>
                <c:pt idx="7">
                  <c:v>-0.6</c:v>
                </c:pt>
                <c:pt idx="8">
                  <c:v>-0.4</c:v>
                </c:pt>
                <c:pt idx="9">
                  <c:v>-0.2</c:v>
                </c:pt>
                <c:pt idx="10">
                  <c:v>0</c:v>
                </c:pt>
                <c:pt idx="11">
                  <c:v>0.2</c:v>
                </c:pt>
                <c:pt idx="12">
                  <c:v>0.4</c:v>
                </c:pt>
                <c:pt idx="13">
                  <c:v>0.6</c:v>
                </c:pt>
                <c:pt idx="14">
                  <c:v>0.8</c:v>
                </c:pt>
                <c:pt idx="15">
                  <c:v>1</c:v>
                </c:pt>
                <c:pt idx="16">
                  <c:v>1.2</c:v>
                </c:pt>
                <c:pt idx="17">
                  <c:v>1.4</c:v>
                </c:pt>
                <c:pt idx="18">
                  <c:v>1.6</c:v>
                </c:pt>
                <c:pt idx="19">
                  <c:v>1.8</c:v>
                </c:pt>
                <c:pt idx="20">
                  <c:v>2</c:v>
                </c:pt>
              </c:numCache>
            </c:numRef>
          </c:cat>
          <c:val>
            <c:numRef>
              <c:f>'Задание №5'!$F$30:$Z$30</c:f>
              <c:numCache>
                <c:formatCode>General</c:formatCode>
                <c:ptCount val="21"/>
                <c:pt idx="0">
                  <c:v>100.88000000000002</c:v>
                </c:pt>
                <c:pt idx="1">
                  <c:v>67.662400000000019</c:v>
                </c:pt>
                <c:pt idx="2">
                  <c:v>42.742400000000025</c:v>
                </c:pt>
                <c:pt idx="3">
                  <c:v>24.814399999999999</c:v>
                </c:pt>
                <c:pt idx="4">
                  <c:v>12.726399999999998</c:v>
                </c:pt>
                <c:pt idx="5">
                  <c:v>5.480000000000004</c:v>
                </c:pt>
                <c:pt idx="6">
                  <c:v>2.2304000000000013</c:v>
                </c:pt>
                <c:pt idx="7">
                  <c:v>2.2864000000000018</c:v>
                </c:pt>
                <c:pt idx="8">
                  <c:v>5.1104000000000012</c:v>
                </c:pt>
                <c:pt idx="9">
                  <c:v>10.318400000000002</c:v>
                </c:pt>
                <c:pt idx="10">
                  <c:v>17.68</c:v>
                </c:pt>
                <c:pt idx="11">
                  <c:v>27.118399999999994</c:v>
                </c:pt>
                <c:pt idx="12">
                  <c:v>38.710399999999993</c:v>
                </c:pt>
                <c:pt idx="13">
                  <c:v>52.686399999999992</c:v>
                </c:pt>
                <c:pt idx="14">
                  <c:v>69.430399999999992</c:v>
                </c:pt>
                <c:pt idx="15">
                  <c:v>89.47999999999999</c:v>
                </c:pt>
                <c:pt idx="16">
                  <c:v>113.5264</c:v>
                </c:pt>
                <c:pt idx="17">
                  <c:v>142.41439999999997</c:v>
                </c:pt>
                <c:pt idx="18">
                  <c:v>177.14240000000001</c:v>
                </c:pt>
                <c:pt idx="19">
                  <c:v>218.86240000000001</c:v>
                </c:pt>
                <c:pt idx="20">
                  <c:v>268.88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DA5-4C75-90CB-79779481E483}"/>
            </c:ext>
          </c:extLst>
        </c:ser>
        <c:ser>
          <c:idx val="15"/>
          <c:order val="15"/>
          <c:tx>
            <c:strRef>
              <c:f>'Задание №5'!$E$31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'Задание №5'!$F$15:$Z$15</c:f>
              <c:numCache>
                <c:formatCode>General</c:formatCode>
                <c:ptCount val="21"/>
                <c:pt idx="0">
                  <c:v>-2</c:v>
                </c:pt>
                <c:pt idx="1">
                  <c:v>-1.8</c:v>
                </c:pt>
                <c:pt idx="2">
                  <c:v>-1.6</c:v>
                </c:pt>
                <c:pt idx="3">
                  <c:v>-1.4</c:v>
                </c:pt>
                <c:pt idx="4">
                  <c:v>-1.2</c:v>
                </c:pt>
                <c:pt idx="5">
                  <c:v>-1</c:v>
                </c:pt>
                <c:pt idx="6">
                  <c:v>-0.8</c:v>
                </c:pt>
                <c:pt idx="7">
                  <c:v>-0.6</c:v>
                </c:pt>
                <c:pt idx="8">
                  <c:v>-0.4</c:v>
                </c:pt>
                <c:pt idx="9">
                  <c:v>-0.2</c:v>
                </c:pt>
                <c:pt idx="10">
                  <c:v>0</c:v>
                </c:pt>
                <c:pt idx="11">
                  <c:v>0.2</c:v>
                </c:pt>
                <c:pt idx="12">
                  <c:v>0.4</c:v>
                </c:pt>
                <c:pt idx="13">
                  <c:v>0.6</c:v>
                </c:pt>
                <c:pt idx="14">
                  <c:v>0.8</c:v>
                </c:pt>
                <c:pt idx="15">
                  <c:v>1</c:v>
                </c:pt>
                <c:pt idx="16">
                  <c:v>1.2</c:v>
                </c:pt>
                <c:pt idx="17">
                  <c:v>1.4</c:v>
                </c:pt>
                <c:pt idx="18">
                  <c:v>1.6</c:v>
                </c:pt>
                <c:pt idx="19">
                  <c:v>1.8</c:v>
                </c:pt>
                <c:pt idx="20">
                  <c:v>2</c:v>
                </c:pt>
              </c:numCache>
            </c:numRef>
          </c:cat>
          <c:val>
            <c:numRef>
              <c:f>'Задание №5'!$F$31:$Z$31</c:f>
              <c:numCache>
                <c:formatCode>General</c:formatCode>
                <c:ptCount val="21"/>
                <c:pt idx="0">
                  <c:v>116</c:v>
                </c:pt>
                <c:pt idx="1">
                  <c:v>80.91040000000001</c:v>
                </c:pt>
                <c:pt idx="2">
                  <c:v>54.694400000000016</c:v>
                </c:pt>
                <c:pt idx="3">
                  <c:v>36.046399999999998</c:v>
                </c:pt>
                <c:pt idx="4">
                  <c:v>23.814399999999999</c:v>
                </c:pt>
                <c:pt idx="5">
                  <c:v>17</c:v>
                </c:pt>
                <c:pt idx="6">
                  <c:v>14.758400000000002</c:v>
                </c:pt>
                <c:pt idx="7">
                  <c:v>16.398399999999999</c:v>
                </c:pt>
                <c:pt idx="8">
                  <c:v>21.382400000000001</c:v>
                </c:pt>
                <c:pt idx="9">
                  <c:v>29.3264</c:v>
                </c:pt>
                <c:pt idx="10">
                  <c:v>40</c:v>
                </c:pt>
                <c:pt idx="11">
                  <c:v>53.3264</c:v>
                </c:pt>
                <c:pt idx="12">
                  <c:v>69.382400000000004</c:v>
                </c:pt>
                <c:pt idx="13">
                  <c:v>88.398399999999995</c:v>
                </c:pt>
                <c:pt idx="14">
                  <c:v>110.75839999999999</c:v>
                </c:pt>
                <c:pt idx="15">
                  <c:v>137</c:v>
                </c:pt>
                <c:pt idx="16">
                  <c:v>167.81440000000001</c:v>
                </c:pt>
                <c:pt idx="17">
                  <c:v>204.04640000000001</c:v>
                </c:pt>
                <c:pt idx="18">
                  <c:v>246.69440000000003</c:v>
                </c:pt>
                <c:pt idx="19">
                  <c:v>296.91039999999998</c:v>
                </c:pt>
                <c:pt idx="20">
                  <c:v>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DA5-4C75-90CB-79779481E483}"/>
            </c:ext>
          </c:extLst>
        </c:ser>
        <c:ser>
          <c:idx val="16"/>
          <c:order val="16"/>
          <c:tx>
            <c:strRef>
              <c:f>'Задание №5'!$E$32</c:f>
              <c:strCache>
                <c:ptCount val="1"/>
                <c:pt idx="0">
                  <c:v>1,2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'Задание №5'!$F$15:$Z$15</c:f>
              <c:numCache>
                <c:formatCode>General</c:formatCode>
                <c:ptCount val="21"/>
                <c:pt idx="0">
                  <c:v>-2</c:v>
                </c:pt>
                <c:pt idx="1">
                  <c:v>-1.8</c:v>
                </c:pt>
                <c:pt idx="2">
                  <c:v>-1.6</c:v>
                </c:pt>
                <c:pt idx="3">
                  <c:v>-1.4</c:v>
                </c:pt>
                <c:pt idx="4">
                  <c:v>-1.2</c:v>
                </c:pt>
                <c:pt idx="5">
                  <c:v>-1</c:v>
                </c:pt>
                <c:pt idx="6">
                  <c:v>-0.8</c:v>
                </c:pt>
                <c:pt idx="7">
                  <c:v>-0.6</c:v>
                </c:pt>
                <c:pt idx="8">
                  <c:v>-0.4</c:v>
                </c:pt>
                <c:pt idx="9">
                  <c:v>-0.2</c:v>
                </c:pt>
                <c:pt idx="10">
                  <c:v>0</c:v>
                </c:pt>
                <c:pt idx="11">
                  <c:v>0.2</c:v>
                </c:pt>
                <c:pt idx="12">
                  <c:v>0.4</c:v>
                </c:pt>
                <c:pt idx="13">
                  <c:v>0.6</c:v>
                </c:pt>
                <c:pt idx="14">
                  <c:v>0.8</c:v>
                </c:pt>
                <c:pt idx="15">
                  <c:v>1</c:v>
                </c:pt>
                <c:pt idx="16">
                  <c:v>1.2</c:v>
                </c:pt>
                <c:pt idx="17">
                  <c:v>1.4</c:v>
                </c:pt>
                <c:pt idx="18">
                  <c:v>1.6</c:v>
                </c:pt>
                <c:pt idx="19">
                  <c:v>1.8</c:v>
                </c:pt>
                <c:pt idx="20">
                  <c:v>2</c:v>
                </c:pt>
              </c:numCache>
            </c:numRef>
          </c:cat>
          <c:val>
            <c:numRef>
              <c:f>'Задание №5'!$F$32:$Z$32</c:f>
              <c:numCache>
                <c:formatCode>General</c:formatCode>
                <c:ptCount val="21"/>
                <c:pt idx="0">
                  <c:v>153.67999999999998</c:v>
                </c:pt>
                <c:pt idx="1">
                  <c:v>115.50239999999999</c:v>
                </c:pt>
                <c:pt idx="2">
                  <c:v>86.902400000000014</c:v>
                </c:pt>
                <c:pt idx="3">
                  <c:v>66.574399999999983</c:v>
                </c:pt>
                <c:pt idx="4">
                  <c:v>53.36639999999997</c:v>
                </c:pt>
                <c:pt idx="5">
                  <c:v>46.279999999999987</c:v>
                </c:pt>
                <c:pt idx="6">
                  <c:v>44.470399999999998</c:v>
                </c:pt>
                <c:pt idx="7">
                  <c:v>47.24639999999998</c:v>
                </c:pt>
                <c:pt idx="8">
                  <c:v>54.070399999999978</c:v>
                </c:pt>
                <c:pt idx="9">
                  <c:v>64.558399999999978</c:v>
                </c:pt>
                <c:pt idx="10">
                  <c:v>78.479999999999976</c:v>
                </c:pt>
                <c:pt idx="11">
                  <c:v>95.75839999999998</c:v>
                </c:pt>
                <c:pt idx="12">
                  <c:v>116.47039999999997</c:v>
                </c:pt>
                <c:pt idx="13">
                  <c:v>140.84639999999996</c:v>
                </c:pt>
                <c:pt idx="14">
                  <c:v>169.2704</c:v>
                </c:pt>
                <c:pt idx="15">
                  <c:v>202.27999999999997</c:v>
                </c:pt>
                <c:pt idx="16">
                  <c:v>240.56639999999987</c:v>
                </c:pt>
                <c:pt idx="17">
                  <c:v>284.97439999999989</c:v>
                </c:pt>
                <c:pt idx="18">
                  <c:v>336.50239999999991</c:v>
                </c:pt>
                <c:pt idx="19">
                  <c:v>396.30239999999992</c:v>
                </c:pt>
                <c:pt idx="20">
                  <c:v>465.67999999999989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DA5-4C75-90CB-79779481E483}"/>
            </c:ext>
          </c:extLst>
        </c:ser>
        <c:ser>
          <c:idx val="17"/>
          <c:order val="17"/>
          <c:tx>
            <c:strRef>
              <c:f>'Задание №5'!$E$33</c:f>
              <c:strCache>
                <c:ptCount val="1"/>
                <c:pt idx="0">
                  <c:v>1,4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'Задание №5'!$F$15:$Z$15</c:f>
              <c:numCache>
                <c:formatCode>General</c:formatCode>
                <c:ptCount val="21"/>
                <c:pt idx="0">
                  <c:v>-2</c:v>
                </c:pt>
                <c:pt idx="1">
                  <c:v>-1.8</c:v>
                </c:pt>
                <c:pt idx="2">
                  <c:v>-1.6</c:v>
                </c:pt>
                <c:pt idx="3">
                  <c:v>-1.4</c:v>
                </c:pt>
                <c:pt idx="4">
                  <c:v>-1.2</c:v>
                </c:pt>
                <c:pt idx="5">
                  <c:v>-1</c:v>
                </c:pt>
                <c:pt idx="6">
                  <c:v>-0.8</c:v>
                </c:pt>
                <c:pt idx="7">
                  <c:v>-0.6</c:v>
                </c:pt>
                <c:pt idx="8">
                  <c:v>-0.4</c:v>
                </c:pt>
                <c:pt idx="9">
                  <c:v>-0.2</c:v>
                </c:pt>
                <c:pt idx="10">
                  <c:v>0</c:v>
                </c:pt>
                <c:pt idx="11">
                  <c:v>0.2</c:v>
                </c:pt>
                <c:pt idx="12">
                  <c:v>0.4</c:v>
                </c:pt>
                <c:pt idx="13">
                  <c:v>0.6</c:v>
                </c:pt>
                <c:pt idx="14">
                  <c:v>0.8</c:v>
                </c:pt>
                <c:pt idx="15">
                  <c:v>1</c:v>
                </c:pt>
                <c:pt idx="16">
                  <c:v>1.2</c:v>
                </c:pt>
                <c:pt idx="17">
                  <c:v>1.4</c:v>
                </c:pt>
                <c:pt idx="18">
                  <c:v>1.6</c:v>
                </c:pt>
                <c:pt idx="19">
                  <c:v>1.8</c:v>
                </c:pt>
                <c:pt idx="20">
                  <c:v>2</c:v>
                </c:pt>
              </c:numCache>
            </c:numRef>
          </c:cat>
          <c:val>
            <c:numRef>
              <c:f>'Задание №5'!$F$33:$Z$33</c:f>
              <c:numCache>
                <c:formatCode>General</c:formatCode>
                <c:ptCount val="21"/>
                <c:pt idx="0">
                  <c:v>219.1999999999999</c:v>
                </c:pt>
                <c:pt idx="1">
                  <c:v>176.71840000000003</c:v>
                </c:pt>
                <c:pt idx="2">
                  <c:v>144.6464</c:v>
                </c:pt>
                <c:pt idx="3">
                  <c:v>121.67839999999998</c:v>
                </c:pt>
                <c:pt idx="4">
                  <c:v>106.66239999999999</c:v>
                </c:pt>
                <c:pt idx="5">
                  <c:v>98.59999999999998</c:v>
                </c:pt>
                <c:pt idx="6">
                  <c:v>96.646399999999971</c:v>
                </c:pt>
                <c:pt idx="7">
                  <c:v>100.1104</c:v>
                </c:pt>
                <c:pt idx="8">
                  <c:v>108.45439999999999</c:v>
                </c:pt>
                <c:pt idx="9">
                  <c:v>121.29439999999998</c:v>
                </c:pt>
                <c:pt idx="10">
                  <c:v>138.39999999999998</c:v>
                </c:pt>
                <c:pt idx="11">
                  <c:v>159.69439999999997</c:v>
                </c:pt>
                <c:pt idx="12">
                  <c:v>185.25439999999998</c:v>
                </c:pt>
                <c:pt idx="13">
                  <c:v>215.31039999999999</c:v>
                </c:pt>
                <c:pt idx="14">
                  <c:v>250.24639999999999</c:v>
                </c:pt>
                <c:pt idx="15">
                  <c:v>290.60000000000002</c:v>
                </c:pt>
                <c:pt idx="16">
                  <c:v>337.06240000000003</c:v>
                </c:pt>
                <c:pt idx="17">
                  <c:v>390.47840000000002</c:v>
                </c:pt>
                <c:pt idx="18">
                  <c:v>451.84640000000002</c:v>
                </c:pt>
                <c:pt idx="19">
                  <c:v>522.31840000000011</c:v>
                </c:pt>
                <c:pt idx="20">
                  <c:v>603.20000000000005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DA5-4C75-90CB-79779481E483}"/>
            </c:ext>
          </c:extLst>
        </c:ser>
        <c:ser>
          <c:idx val="18"/>
          <c:order val="18"/>
          <c:tx>
            <c:strRef>
              <c:f>'Задание №5'!$E$34</c:f>
              <c:strCache>
                <c:ptCount val="1"/>
                <c:pt idx="0">
                  <c:v>1,6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/>
            <a:effectLst/>
            <a:sp3d/>
          </c:spPr>
          <c:cat>
            <c:numRef>
              <c:f>'Задание №5'!$F$15:$Z$15</c:f>
              <c:numCache>
                <c:formatCode>General</c:formatCode>
                <c:ptCount val="21"/>
                <c:pt idx="0">
                  <c:v>-2</c:v>
                </c:pt>
                <c:pt idx="1">
                  <c:v>-1.8</c:v>
                </c:pt>
                <c:pt idx="2">
                  <c:v>-1.6</c:v>
                </c:pt>
                <c:pt idx="3">
                  <c:v>-1.4</c:v>
                </c:pt>
                <c:pt idx="4">
                  <c:v>-1.2</c:v>
                </c:pt>
                <c:pt idx="5">
                  <c:v>-1</c:v>
                </c:pt>
                <c:pt idx="6">
                  <c:v>-0.8</c:v>
                </c:pt>
                <c:pt idx="7">
                  <c:v>-0.6</c:v>
                </c:pt>
                <c:pt idx="8">
                  <c:v>-0.4</c:v>
                </c:pt>
                <c:pt idx="9">
                  <c:v>-0.2</c:v>
                </c:pt>
                <c:pt idx="10">
                  <c:v>0</c:v>
                </c:pt>
                <c:pt idx="11">
                  <c:v>0.2</c:v>
                </c:pt>
                <c:pt idx="12">
                  <c:v>0.4</c:v>
                </c:pt>
                <c:pt idx="13">
                  <c:v>0.6</c:v>
                </c:pt>
                <c:pt idx="14">
                  <c:v>0.8</c:v>
                </c:pt>
                <c:pt idx="15">
                  <c:v>1</c:v>
                </c:pt>
                <c:pt idx="16">
                  <c:v>1.2</c:v>
                </c:pt>
                <c:pt idx="17">
                  <c:v>1.4</c:v>
                </c:pt>
                <c:pt idx="18">
                  <c:v>1.6</c:v>
                </c:pt>
                <c:pt idx="19">
                  <c:v>1.8</c:v>
                </c:pt>
                <c:pt idx="20">
                  <c:v>2</c:v>
                </c:pt>
              </c:numCache>
            </c:numRef>
          </c:cat>
          <c:val>
            <c:numRef>
              <c:f>'Задание №5'!$F$34:$Z$34</c:f>
              <c:numCache>
                <c:formatCode>General</c:formatCode>
                <c:ptCount val="21"/>
                <c:pt idx="0">
                  <c:v>318.80000000000013</c:v>
                </c:pt>
                <c:pt idx="1">
                  <c:v>270.79840000000002</c:v>
                </c:pt>
                <c:pt idx="2">
                  <c:v>234.16640000000007</c:v>
                </c:pt>
                <c:pt idx="3">
                  <c:v>207.59840000000008</c:v>
                </c:pt>
                <c:pt idx="4">
                  <c:v>189.94240000000008</c:v>
                </c:pt>
                <c:pt idx="5">
                  <c:v>180.20000000000007</c:v>
                </c:pt>
                <c:pt idx="6">
                  <c:v>177.52640000000005</c:v>
                </c:pt>
                <c:pt idx="7">
                  <c:v>181.23040000000009</c:v>
                </c:pt>
                <c:pt idx="8">
                  <c:v>190.77440000000007</c:v>
                </c:pt>
                <c:pt idx="9">
                  <c:v>205.77440000000007</c:v>
                </c:pt>
                <c:pt idx="10">
                  <c:v>226.00000000000006</c:v>
                </c:pt>
                <c:pt idx="11">
                  <c:v>251.37440000000007</c:v>
                </c:pt>
                <c:pt idx="12">
                  <c:v>281.97440000000006</c:v>
                </c:pt>
                <c:pt idx="13">
                  <c:v>318.03040000000004</c:v>
                </c:pt>
                <c:pt idx="14">
                  <c:v>359.9264</c:v>
                </c:pt>
                <c:pt idx="15">
                  <c:v>408.20000000000005</c:v>
                </c:pt>
                <c:pt idx="16">
                  <c:v>463.54240000000004</c:v>
                </c:pt>
                <c:pt idx="17">
                  <c:v>526.79840000000002</c:v>
                </c:pt>
                <c:pt idx="18">
                  <c:v>598.96640000000002</c:v>
                </c:pt>
                <c:pt idx="19">
                  <c:v>681.19839999999999</c:v>
                </c:pt>
                <c:pt idx="20">
                  <c:v>774.80000000000007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DA5-4C75-90CB-79779481E483}"/>
            </c:ext>
          </c:extLst>
        </c:ser>
        <c:ser>
          <c:idx val="19"/>
          <c:order val="19"/>
          <c:tx>
            <c:strRef>
              <c:f>'Задание №5'!$E$35</c:f>
              <c:strCache>
                <c:ptCount val="1"/>
                <c:pt idx="0">
                  <c:v>1,8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/>
            <a:effectLst/>
            <a:sp3d/>
          </c:spPr>
          <c:cat>
            <c:numRef>
              <c:f>'Задание №5'!$F$15:$Z$15</c:f>
              <c:numCache>
                <c:formatCode>General</c:formatCode>
                <c:ptCount val="21"/>
                <c:pt idx="0">
                  <c:v>-2</c:v>
                </c:pt>
                <c:pt idx="1">
                  <c:v>-1.8</c:v>
                </c:pt>
                <c:pt idx="2">
                  <c:v>-1.6</c:v>
                </c:pt>
                <c:pt idx="3">
                  <c:v>-1.4</c:v>
                </c:pt>
                <c:pt idx="4">
                  <c:v>-1.2</c:v>
                </c:pt>
                <c:pt idx="5">
                  <c:v>-1</c:v>
                </c:pt>
                <c:pt idx="6">
                  <c:v>-0.8</c:v>
                </c:pt>
                <c:pt idx="7">
                  <c:v>-0.6</c:v>
                </c:pt>
                <c:pt idx="8">
                  <c:v>-0.4</c:v>
                </c:pt>
                <c:pt idx="9">
                  <c:v>-0.2</c:v>
                </c:pt>
                <c:pt idx="10">
                  <c:v>0</c:v>
                </c:pt>
                <c:pt idx="11">
                  <c:v>0.2</c:v>
                </c:pt>
                <c:pt idx="12">
                  <c:v>0.4</c:v>
                </c:pt>
                <c:pt idx="13">
                  <c:v>0.6</c:v>
                </c:pt>
                <c:pt idx="14">
                  <c:v>0.8</c:v>
                </c:pt>
                <c:pt idx="15">
                  <c:v>1</c:v>
                </c:pt>
                <c:pt idx="16">
                  <c:v>1.2</c:v>
                </c:pt>
                <c:pt idx="17">
                  <c:v>1.4</c:v>
                </c:pt>
                <c:pt idx="18">
                  <c:v>1.6</c:v>
                </c:pt>
                <c:pt idx="19">
                  <c:v>1.8</c:v>
                </c:pt>
                <c:pt idx="20">
                  <c:v>2</c:v>
                </c:pt>
              </c:numCache>
            </c:numRef>
          </c:cat>
          <c:val>
            <c:numRef>
              <c:f>'Задание №5'!$F$35:$Z$35</c:f>
              <c:numCache>
                <c:formatCode>General</c:formatCode>
                <c:ptCount val="21"/>
                <c:pt idx="0">
                  <c:v>459.68000000000012</c:v>
                </c:pt>
                <c:pt idx="1">
                  <c:v>404.94240000000013</c:v>
                </c:pt>
                <c:pt idx="2">
                  <c:v>362.66240000000016</c:v>
                </c:pt>
                <c:pt idx="3">
                  <c:v>331.53440000000001</c:v>
                </c:pt>
                <c:pt idx="4">
                  <c:v>310.40640000000002</c:v>
                </c:pt>
                <c:pt idx="5">
                  <c:v>298.28000000000009</c:v>
                </c:pt>
                <c:pt idx="6">
                  <c:v>294.31040000000007</c:v>
                </c:pt>
                <c:pt idx="7">
                  <c:v>297.80640000000005</c:v>
                </c:pt>
                <c:pt idx="8">
                  <c:v>308.23040000000009</c:v>
                </c:pt>
                <c:pt idx="9">
                  <c:v>325.19839999999999</c:v>
                </c:pt>
                <c:pt idx="10">
                  <c:v>348.48</c:v>
                </c:pt>
                <c:pt idx="11">
                  <c:v>377.9984</c:v>
                </c:pt>
                <c:pt idx="12">
                  <c:v>413.83040000000005</c:v>
                </c:pt>
                <c:pt idx="13">
                  <c:v>456.20640000000003</c:v>
                </c:pt>
                <c:pt idx="14">
                  <c:v>505.51040000000012</c:v>
                </c:pt>
                <c:pt idx="15">
                  <c:v>562.28</c:v>
                </c:pt>
                <c:pt idx="16">
                  <c:v>627.20640000000003</c:v>
                </c:pt>
                <c:pt idx="17">
                  <c:v>701.13439999999991</c:v>
                </c:pt>
                <c:pt idx="18">
                  <c:v>785.06240000000014</c:v>
                </c:pt>
                <c:pt idx="19">
                  <c:v>880.14240000000018</c:v>
                </c:pt>
                <c:pt idx="20">
                  <c:v>987.68000000000006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DA5-4C75-90CB-79779481E483}"/>
            </c:ext>
          </c:extLst>
        </c:ser>
        <c:ser>
          <c:idx val="20"/>
          <c:order val="20"/>
          <c:tx>
            <c:strRef>
              <c:f>'Задание №5'!$E$36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/>
            <a:effectLst/>
            <a:sp3d/>
          </c:spPr>
          <c:cat>
            <c:numRef>
              <c:f>'Задание №5'!$F$15:$Z$15</c:f>
              <c:numCache>
                <c:formatCode>General</c:formatCode>
                <c:ptCount val="21"/>
                <c:pt idx="0">
                  <c:v>-2</c:v>
                </c:pt>
                <c:pt idx="1">
                  <c:v>-1.8</c:v>
                </c:pt>
                <c:pt idx="2">
                  <c:v>-1.6</c:v>
                </c:pt>
                <c:pt idx="3">
                  <c:v>-1.4</c:v>
                </c:pt>
                <c:pt idx="4">
                  <c:v>-1.2</c:v>
                </c:pt>
                <c:pt idx="5">
                  <c:v>-1</c:v>
                </c:pt>
                <c:pt idx="6">
                  <c:v>-0.8</c:v>
                </c:pt>
                <c:pt idx="7">
                  <c:v>-0.6</c:v>
                </c:pt>
                <c:pt idx="8">
                  <c:v>-0.4</c:v>
                </c:pt>
                <c:pt idx="9">
                  <c:v>-0.2</c:v>
                </c:pt>
                <c:pt idx="10">
                  <c:v>0</c:v>
                </c:pt>
                <c:pt idx="11">
                  <c:v>0.2</c:v>
                </c:pt>
                <c:pt idx="12">
                  <c:v>0.4</c:v>
                </c:pt>
                <c:pt idx="13">
                  <c:v>0.6</c:v>
                </c:pt>
                <c:pt idx="14">
                  <c:v>0.8</c:v>
                </c:pt>
                <c:pt idx="15">
                  <c:v>1</c:v>
                </c:pt>
                <c:pt idx="16">
                  <c:v>1.2</c:v>
                </c:pt>
                <c:pt idx="17">
                  <c:v>1.4</c:v>
                </c:pt>
                <c:pt idx="18">
                  <c:v>1.6</c:v>
                </c:pt>
                <c:pt idx="19">
                  <c:v>1.8</c:v>
                </c:pt>
                <c:pt idx="20">
                  <c:v>2</c:v>
                </c:pt>
              </c:numCache>
            </c:numRef>
          </c:cat>
          <c:val>
            <c:numRef>
              <c:f>'Задание №5'!$F$36:$Z$36</c:f>
              <c:numCache>
                <c:formatCode>General</c:formatCode>
                <c:ptCount val="21"/>
                <c:pt idx="0">
                  <c:v>650</c:v>
                </c:pt>
                <c:pt idx="1">
                  <c:v>587.31040000000007</c:v>
                </c:pt>
                <c:pt idx="2">
                  <c:v>538.2944</c:v>
                </c:pt>
                <c:pt idx="3">
                  <c:v>501.64639999999991</c:v>
                </c:pt>
                <c:pt idx="4">
                  <c:v>476.21439999999996</c:v>
                </c:pt>
                <c:pt idx="5">
                  <c:v>461</c:v>
                </c:pt>
                <c:pt idx="6">
                  <c:v>455.15840000000003</c:v>
                </c:pt>
                <c:pt idx="7">
                  <c:v>457.99839999999995</c:v>
                </c:pt>
                <c:pt idx="8">
                  <c:v>468.98239999999998</c:v>
                </c:pt>
                <c:pt idx="9">
                  <c:v>487.72639999999996</c:v>
                </c:pt>
                <c:pt idx="10">
                  <c:v>514</c:v>
                </c:pt>
                <c:pt idx="11">
                  <c:v>547.72640000000001</c:v>
                </c:pt>
                <c:pt idx="12">
                  <c:v>588.98239999999998</c:v>
                </c:pt>
                <c:pt idx="13">
                  <c:v>637.99839999999995</c:v>
                </c:pt>
                <c:pt idx="14">
                  <c:v>695.15840000000003</c:v>
                </c:pt>
                <c:pt idx="15">
                  <c:v>761</c:v>
                </c:pt>
                <c:pt idx="16">
                  <c:v>836.21439999999996</c:v>
                </c:pt>
                <c:pt idx="17">
                  <c:v>921.64639999999986</c:v>
                </c:pt>
                <c:pt idx="18">
                  <c:v>1018.2944</c:v>
                </c:pt>
                <c:pt idx="19">
                  <c:v>1127.3104000000001</c:v>
                </c:pt>
                <c:pt idx="20">
                  <c:v>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DA5-4C75-90CB-79779481E483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228216192"/>
        <c:axId val="228222080"/>
        <c:axId val="223921920"/>
      </c:surface3DChart>
      <c:catAx>
        <c:axId val="228216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8222080"/>
        <c:crosses val="autoZero"/>
        <c:auto val="1"/>
        <c:lblAlgn val="ctr"/>
        <c:lblOffset val="100"/>
        <c:noMultiLvlLbl val="0"/>
      </c:catAx>
      <c:valAx>
        <c:axId val="22822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8216192"/>
        <c:crosses val="autoZero"/>
        <c:crossBetween val="midCat"/>
      </c:valAx>
      <c:serAx>
        <c:axId val="22392192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8222080"/>
        <c:crosses val="autoZero"/>
      </c:ser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 rtl="0"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 rtl="0"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 rtl="0"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 rtl="0"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 rtl="0"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 rtl="0"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 rtl="0"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legendEntry>
      <c:legendEntry>
        <c:idx val="7"/>
        <c:txPr>
          <a:bodyPr rot="0" spcFirstLastPara="1" vertOverflow="ellipsis" vert="horz" wrap="square" anchor="ctr" anchorCtr="1"/>
          <a:lstStyle/>
          <a:p>
            <a:pPr rtl="0"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207645</xdr:colOff>
      <xdr:row>6</xdr:row>
      <xdr:rowOff>89535</xdr:rowOff>
    </xdr:from>
    <xdr:ext cx="3429000" cy="25500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 txBox="1"/>
          </xdr:nvSpPr>
          <xdr:spPr>
            <a:xfrm>
              <a:off x="5396865" y="1202055"/>
              <a:ext cx="3429000" cy="255006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ru-RU" sz="1600" b="0" i="1">
                        <a:latin typeface="Cambria Math" panose="02040503050406030204" pitchFamily="18" charset="0"/>
                      </a:rPr>
                      <m:t>−3</m:t>
                    </m:r>
                    <m:sSup>
                      <m:sSupPr>
                        <m:ctrlP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p>
                        <m: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p>
                    </m:sSup>
                    <m:sSup>
                      <m:sSupPr>
                        <m:ctrlP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ru-RU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−4</m:t>
                        </m:r>
                        <m: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p>
                        <m: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ru-RU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en-US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𝑥</m:t>
                    </m:r>
                    <m:r>
                      <a:rPr lang="en-US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−3=0</m:t>
                    </m:r>
                  </m:oMath>
                </m:oMathPara>
              </a14:m>
              <a:endParaRPr lang="ru-RU" sz="16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 txBox="1"/>
          </xdr:nvSpPr>
          <xdr:spPr>
            <a:xfrm>
              <a:off x="5396865" y="1202055"/>
              <a:ext cx="3429000" cy="255006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𝑥^4</a:t>
              </a:r>
              <a:r>
                <a:rPr lang="ru-RU" sz="1600" b="0" i="0">
                  <a:latin typeface="Cambria Math" panose="02040503050406030204" pitchFamily="18" charset="0"/>
                </a:rPr>
                <a:t>−3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𝑥^3 〖</a:t>
              </a:r>
              <a:r>
                <a:rPr lang="ru-RU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−4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𝑥〗^2</a:t>
              </a:r>
              <a:r>
                <a:rPr lang="ru-RU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𝑥−3=0</a:t>
              </a:r>
              <a:endParaRPr lang="ru-RU" sz="16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786765</xdr:colOff>
      <xdr:row>0</xdr:row>
      <xdr:rowOff>74295</xdr:rowOff>
    </xdr:from>
    <xdr:ext cx="1748427" cy="3130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SpPr txBox="1"/>
          </xdr:nvSpPr>
          <xdr:spPr>
            <a:xfrm>
              <a:off x="6715125" y="74295"/>
              <a:ext cx="1748427" cy="313099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0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2000" b="0" i="1">
                        <a:latin typeface="Cambria Math" panose="02040503050406030204" pitchFamily="18" charset="0"/>
                      </a:rPr>
                      <m:t>+</m:t>
                    </m:r>
                    <m:func>
                      <m:func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2000" b="0" i="0">
                            <a:latin typeface="Cambria Math" panose="02040503050406030204" pitchFamily="18" charset="0"/>
                          </a:rPr>
                          <m:t>ln</m:t>
                        </m:r>
                      </m:fName>
                      <m:e>
                        <m:d>
                          <m:d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d>
                      </m:e>
                    </m:func>
                    <m:r>
                      <a:rPr lang="en-US" sz="2000" b="0" i="1">
                        <a:latin typeface="Cambria Math" panose="02040503050406030204" pitchFamily="18" charset="0"/>
                      </a:rPr>
                      <m:t>=0,5</m:t>
                    </m:r>
                  </m:oMath>
                </m:oMathPara>
              </a14:m>
              <a:endParaRPr lang="ru-RU" sz="20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SpPr txBox="1"/>
          </xdr:nvSpPr>
          <xdr:spPr>
            <a:xfrm>
              <a:off x="6715125" y="74295"/>
              <a:ext cx="1748427" cy="313099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2000" b="0" i="0">
                  <a:latin typeface="Cambria Math" panose="02040503050406030204" pitchFamily="18" charset="0"/>
                </a:rPr>
                <a:t>𝑥+ln⁡(𝑥)=0,5</a:t>
              </a:r>
              <a:endParaRPr lang="ru-RU" sz="2000"/>
            </a:p>
          </xdr:txBody>
        </xdr:sp>
      </mc:Fallback>
    </mc:AlternateContent>
    <xdr:clientData/>
  </xdr:oneCellAnchor>
  <xdr:twoCellAnchor>
    <xdr:from>
      <xdr:col>0</xdr:col>
      <xdr:colOff>198120</xdr:colOff>
      <xdr:row>14</xdr:row>
      <xdr:rowOff>72390</xdr:rowOff>
    </xdr:from>
    <xdr:to>
      <xdr:col>4</xdr:col>
      <xdr:colOff>685800</xdr:colOff>
      <xdr:row>29</xdr:row>
      <xdr:rowOff>72390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0D52D476-BF3C-4B5C-A483-4643A99AA6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365760</xdr:colOff>
      <xdr:row>14</xdr:row>
      <xdr:rowOff>179070</xdr:rowOff>
    </xdr:from>
    <xdr:to>
      <xdr:col>11</xdr:col>
      <xdr:colOff>350520</xdr:colOff>
      <xdr:row>29</xdr:row>
      <xdr:rowOff>179070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FDD9B39B-CFC9-4E00-A301-643DF9300E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174812</xdr:colOff>
      <xdr:row>15</xdr:row>
      <xdr:rowOff>0</xdr:rowOff>
    </xdr:from>
    <xdr:to>
      <xdr:col>19</xdr:col>
      <xdr:colOff>94130</xdr:colOff>
      <xdr:row>30</xdr:row>
      <xdr:rowOff>53789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7A5D5563-9760-404D-A4BD-23784847DF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352425</xdr:colOff>
      <xdr:row>1</xdr:row>
      <xdr:rowOff>127635</xdr:rowOff>
    </xdr:from>
    <xdr:ext cx="2098203" cy="37568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SpPr txBox="1"/>
          </xdr:nvSpPr>
          <xdr:spPr>
            <a:xfrm>
              <a:off x="6837045" y="310515"/>
              <a:ext cx="2098203" cy="37568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4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2400" b="0" i="1">
                        <a:latin typeface="Cambria Math" panose="02040503050406030204" pitchFamily="18" charset="0"/>
                      </a:rPr>
                      <m:t>+</m:t>
                    </m:r>
                    <m:func>
                      <m:funcPr>
                        <m:ctrlPr>
                          <a:rPr lang="en-US" sz="24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2400" b="0" i="0">
                            <a:latin typeface="Cambria Math" panose="02040503050406030204" pitchFamily="18" charset="0"/>
                          </a:rPr>
                          <m:t>ln</m:t>
                        </m:r>
                      </m:fName>
                      <m:e>
                        <m:d>
                          <m:dPr>
                            <m:ctrlPr>
                              <a:rPr lang="en-US" sz="24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24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d>
                      </m:e>
                    </m:func>
                    <m:r>
                      <a:rPr lang="en-US" sz="2400" b="0" i="1">
                        <a:latin typeface="Cambria Math" panose="02040503050406030204" pitchFamily="18" charset="0"/>
                      </a:rPr>
                      <m:t>=0,5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SpPr txBox="1"/>
          </xdr:nvSpPr>
          <xdr:spPr>
            <a:xfrm>
              <a:off x="6837045" y="310515"/>
              <a:ext cx="2098203" cy="37568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2400" b="0" i="0">
                  <a:latin typeface="Cambria Math" panose="02040503050406030204" pitchFamily="18" charset="0"/>
                </a:rPr>
                <a:t>𝑥+ln⁡(𝑥)=0,5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6</xdr:col>
      <xdr:colOff>53340</xdr:colOff>
      <xdr:row>4</xdr:row>
      <xdr:rowOff>175260</xdr:rowOff>
    </xdr:from>
    <xdr:to>
      <xdr:col>13</xdr:col>
      <xdr:colOff>304800</xdr:colOff>
      <xdr:row>19</xdr:row>
      <xdr:rowOff>175260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525780</xdr:colOff>
      <xdr:row>20</xdr:row>
      <xdr:rowOff>102870</xdr:rowOff>
    </xdr:from>
    <xdr:to>
      <xdr:col>20</xdr:col>
      <xdr:colOff>220980</xdr:colOff>
      <xdr:row>35</xdr:row>
      <xdr:rowOff>102870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299FD78D-59E0-4D29-9012-D270D61E8B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12186</xdr:colOff>
      <xdr:row>0</xdr:row>
      <xdr:rowOff>160020</xdr:rowOff>
    </xdr:from>
    <xdr:ext cx="3397597" cy="81195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300-000002000000}"/>
                </a:ext>
              </a:extLst>
            </xdr:cNvPr>
            <xdr:cNvSpPr txBox="1"/>
          </xdr:nvSpPr>
          <xdr:spPr>
            <a:xfrm>
              <a:off x="621786" y="160020"/>
              <a:ext cx="3397597" cy="8119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800" b="0" i="0">
                        <a:latin typeface="Cambria Math" panose="02040503050406030204" pitchFamily="18" charset="0"/>
                      </a:rPr>
                      <m:t>0,21</m:t>
                    </m:r>
                    <m:r>
                      <m:rPr>
                        <m:sty m:val="p"/>
                      </m:rPr>
                      <a:rPr lang="en-US" sz="1800" b="0" i="0">
                        <a:latin typeface="Cambria Math" panose="02040503050406030204" pitchFamily="18" charset="0"/>
                      </a:rPr>
                      <m:t>x</m:t>
                    </m:r>
                    <m:r>
                      <a:rPr lang="en-US" sz="1800" b="0" i="0">
                        <a:latin typeface="Cambria Math" panose="02040503050406030204" pitchFamily="18" charset="0"/>
                      </a:rPr>
                      <m:t>1 </m:t>
                    </m:r>
                    <m:r>
                      <m:rPr>
                        <m:nor/>
                      </m:rPr>
                      <a:rPr lang="en-US" sz="1800" b="0" i="0">
                        <a:latin typeface="Cambria Math" panose="02040503050406030204" pitchFamily="18" charset="0"/>
                      </a:rPr>
                      <m:t>-</m:t>
                    </m:r>
                    <m:r>
                      <a:rPr lang="en-US" sz="1800" b="0" i="0">
                        <a:latin typeface="Cambria Math" panose="02040503050406030204" pitchFamily="18" charset="0"/>
                      </a:rPr>
                      <m:t> 0,18</m:t>
                    </m:r>
                    <m:r>
                      <m:rPr>
                        <m:sty m:val="p"/>
                      </m:rPr>
                      <a:rPr lang="en-US" sz="1800" b="0" i="0">
                        <a:latin typeface="Cambria Math" panose="02040503050406030204" pitchFamily="18" charset="0"/>
                      </a:rPr>
                      <m:t>x</m:t>
                    </m:r>
                    <m:r>
                      <a:rPr lang="en-US" sz="1800" b="0" i="0">
                        <a:latin typeface="Cambria Math" panose="02040503050406030204" pitchFamily="18" charset="0"/>
                      </a:rPr>
                      <m:t>2+0,75</m:t>
                    </m:r>
                    <m:r>
                      <m:rPr>
                        <m:sty m:val="p"/>
                      </m:rPr>
                      <a:rPr lang="en-US" sz="1800" b="0" i="0">
                        <a:latin typeface="Cambria Math" panose="02040503050406030204" pitchFamily="18" charset="0"/>
                      </a:rPr>
                      <m:t>x</m:t>
                    </m:r>
                    <m:r>
                      <a:rPr lang="en-US" sz="1800" b="0" i="0">
                        <a:latin typeface="Cambria Math" panose="02040503050406030204" pitchFamily="18" charset="0"/>
                      </a:rPr>
                      <m:t>3=0,11</m:t>
                    </m:r>
                  </m:oMath>
                </m:oMathPara>
              </a14:m>
              <a:endParaRPr lang="en-US" sz="1800" b="0" i="0">
                <a:latin typeface="Times New Roman" panose="02020603050405020304" pitchFamily="18" charset="0"/>
                <a:ea typeface="Cambria" panose="02040503050406030204" pitchFamily="18" charset="0"/>
                <a:cs typeface="Times New Roman" panose="02020603050405020304" pitchFamily="18" charset="0"/>
              </a:endParaRPr>
            </a:p>
            <a:p>
              <a:pPr algn="l"/>
              <a:r>
                <a:rPr lang="en-US" sz="1800" i="0">
                  <a:latin typeface="Times New Roman" panose="02020603050405020304" pitchFamily="18" charset="0"/>
                  <a:ea typeface="Cambria" panose="02040503050406030204" pitchFamily="18" charset="0"/>
                  <a:cs typeface="Times New Roman" panose="02020603050405020304" pitchFamily="18" charset="0"/>
                </a:rPr>
                <a:t> </a:t>
              </a:r>
              <a:r>
                <a:rPr lang="en-US" sz="1800" i="0"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0,13x1</a:t>
              </a:r>
              <a:r>
                <a:rPr lang="en-US" sz="1800" i="0" baseline="0"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 - 0,75x2 - 0,11x3 = 2,00</a:t>
              </a:r>
            </a:p>
            <a:p>
              <a:pPr algn="l"/>
              <a:r>
                <a:rPr lang="en-US" sz="1800" i="0" baseline="0"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3,01x1 - 0,33x2 + 0,11x3 = 0,13</a:t>
              </a:r>
              <a:endParaRPr lang="ru-RU" sz="1800" i="0">
                <a:latin typeface="Cambria Math" panose="02040503050406030204" pitchFamily="18" charset="0"/>
                <a:ea typeface="Cambria Math" panose="02040503050406030204" pitchFamily="18" charset="0"/>
                <a:cs typeface="Times New Roman" panose="02020603050405020304" pitchFamily="18" charset="0"/>
              </a:endParaRPr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300-000002000000}"/>
                </a:ext>
              </a:extLst>
            </xdr:cNvPr>
            <xdr:cNvSpPr txBox="1"/>
          </xdr:nvSpPr>
          <xdr:spPr>
            <a:xfrm>
              <a:off x="621786" y="160020"/>
              <a:ext cx="3397597" cy="8119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l"/>
              <a:r>
                <a:rPr lang="en-US" sz="1800" b="0" i="0">
                  <a:latin typeface="Cambria Math" panose="02040503050406030204" pitchFamily="18" charset="0"/>
                </a:rPr>
                <a:t>0,21x1 "-" 0,18x2+0,75x3=0,11</a:t>
              </a:r>
              <a:endParaRPr lang="en-US" sz="1800" b="0" i="0">
                <a:latin typeface="Times New Roman" panose="02020603050405020304" pitchFamily="18" charset="0"/>
                <a:ea typeface="Cambria" panose="02040503050406030204" pitchFamily="18" charset="0"/>
                <a:cs typeface="Times New Roman" panose="02020603050405020304" pitchFamily="18" charset="0"/>
              </a:endParaRPr>
            </a:p>
            <a:p>
              <a:pPr algn="l"/>
              <a:r>
                <a:rPr lang="en-US" sz="1800" i="0">
                  <a:latin typeface="Times New Roman" panose="02020603050405020304" pitchFamily="18" charset="0"/>
                  <a:ea typeface="Cambria" panose="02040503050406030204" pitchFamily="18" charset="0"/>
                  <a:cs typeface="Times New Roman" panose="02020603050405020304" pitchFamily="18" charset="0"/>
                </a:rPr>
                <a:t> </a:t>
              </a:r>
              <a:r>
                <a:rPr lang="en-US" sz="1800" i="0"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0,13x1</a:t>
              </a:r>
              <a:r>
                <a:rPr lang="en-US" sz="1800" i="0" baseline="0"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 - 0,75x2 - 0,11x3 = 2,00</a:t>
              </a:r>
            </a:p>
            <a:p>
              <a:pPr algn="l"/>
              <a:r>
                <a:rPr lang="en-US" sz="1800" i="0" baseline="0"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3,01x1 - 0,33x2 + 0,11x3 = 0,13</a:t>
              </a:r>
              <a:endParaRPr lang="ru-RU" sz="1800" i="0">
                <a:latin typeface="Cambria Math" panose="02040503050406030204" pitchFamily="18" charset="0"/>
                <a:ea typeface="Cambria Math" panose="02040503050406030204" pitchFamily="18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480060</xdr:colOff>
      <xdr:row>1</xdr:row>
      <xdr:rowOff>112395</xdr:rowOff>
    </xdr:from>
    <xdr:ext cx="1616276" cy="61786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400-000002000000}"/>
                </a:ext>
              </a:extLst>
            </xdr:cNvPr>
            <xdr:cNvSpPr txBox="1"/>
          </xdr:nvSpPr>
          <xdr:spPr>
            <a:xfrm>
              <a:off x="3599778" y="291689"/>
              <a:ext cx="1616276" cy="6178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ru-RU" sz="18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m>
                          <m:mPr>
                            <m:plcHide m:val="on"/>
                            <m:mcs>
                              <m:mc>
                                <m:mcPr>
                                  <m:count m:val="1"/>
                                  <m:mcJc m:val="center"/>
                                </m:mcPr>
                              </m:mc>
                            </m:mcs>
                            <m:ctrlPr>
                              <a:rPr lang="ru-RU" sz="1800" i="1">
                                <a:latin typeface="Cambria Math" panose="02040503050406030204" pitchFamily="18" charset="0"/>
                              </a:rPr>
                            </m:ctrlPr>
                          </m:mPr>
                          <m:mr>
                            <m:e>
                              <m:r>
                                <a:rPr lang="en-US" sz="1800" b="0" i="1">
                                  <a:latin typeface="Cambria Math" panose="02040503050406030204" pitchFamily="18" charset="0"/>
                                </a:rPr>
                                <m:t>5</m:t>
                              </m:r>
                              <m:sSup>
                                <m:sSupPr>
                                  <m:ctrlPr>
                                    <a:rPr lang="ru-RU" sz="1800" i="1">
                                      <a:latin typeface="Cambria Math" panose="02040503050406030204" pitchFamily="18" charset="0"/>
                                    </a:rPr>
                                  </m:ctrlPr>
                                </m:sSupPr>
                                <m:e>
                                  <m:r>
                                    <a:rPr lang="ru-RU" sz="1800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p>
                                  <m:r>
                                    <a:rPr lang="ru-RU" sz="1800" i="1">
                                      <a:latin typeface="Cambria Math" panose="02040503050406030204" pitchFamily="18" charset="0"/>
                                    </a:rPr>
                                    <m:t>2</m:t>
                                  </m:r>
                                </m:sup>
                              </m:sSup>
                              <m:r>
                                <a:rPr lang="ru-RU" sz="1800" i="1">
                                  <a:latin typeface="Cambria Math" panose="02040503050406030204" pitchFamily="18" charset="0"/>
                                </a:rPr>
                                <m:t>+</m:t>
                              </m:r>
                              <m:r>
                                <a:rPr lang="en-US" sz="18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  <m:sSup>
                                <m:sSupPr>
                                  <m:ctrlPr>
                                    <a:rPr lang="ru-RU" sz="1800" i="1">
                                      <a:latin typeface="Cambria Math" panose="02040503050406030204" pitchFamily="18" charset="0"/>
                                    </a:rPr>
                                  </m:ctrlPr>
                                </m:sSupPr>
                                <m:e>
                                  <m:r>
                                    <a:rPr lang="ru-RU" sz="1800" i="1">
                                      <a:latin typeface="Cambria Math" panose="02040503050406030204" pitchFamily="18" charset="0"/>
                                    </a:rPr>
                                    <m:t>𝑦</m:t>
                                  </m:r>
                                </m:e>
                                <m:sup>
                                  <m:r>
                                    <a:rPr lang="ru-RU" sz="1800" i="1">
                                      <a:latin typeface="Cambria Math" panose="02040503050406030204" pitchFamily="18" charset="0"/>
                                    </a:rPr>
                                    <m:t>2</m:t>
                                  </m:r>
                                </m:sup>
                              </m:sSup>
                              <m:r>
                                <a:rPr lang="ru-RU" sz="1800" i="1">
                                  <a:latin typeface="Cambria Math" panose="02040503050406030204" pitchFamily="18" charset="0"/>
                                </a:rPr>
                                <m:t>=</m:t>
                              </m:r>
                              <m:r>
                                <a:rPr lang="en-US" sz="1800" b="0" i="1">
                                  <a:latin typeface="Cambria Math" panose="02040503050406030204" pitchFamily="18" charset="0"/>
                                </a:rPr>
                                <m:t>4</m:t>
                              </m:r>
                            </m:e>
                          </m:mr>
                          <m:mr>
                            <m:e>
                              <m:r>
                                <a:rPr lang="en-US" sz="18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  <m:r>
                                <a:rPr lang="ru-RU" sz="1800" i="1">
                                  <a:latin typeface="Cambria Math" panose="02040503050406030204" pitchFamily="18" charset="0"/>
                                </a:rPr>
                                <m:t>𝑥</m:t>
                              </m:r>
                              <m:r>
                                <a:rPr lang="ru-RU" sz="1800" i="1">
                                  <a:latin typeface="Cambria Math" panose="02040503050406030204" pitchFamily="18" charset="0"/>
                                </a:rPr>
                                <m:t>+7</m:t>
                              </m:r>
                              <m:r>
                                <a:rPr lang="ru-RU" sz="1800" i="1">
                                  <a:latin typeface="Cambria Math" panose="02040503050406030204" pitchFamily="18" charset="0"/>
                                </a:rPr>
                                <m:t>𝑦</m:t>
                              </m:r>
                              <m:r>
                                <a:rPr lang="ru-RU" sz="1800" i="1">
                                  <a:latin typeface="Cambria Math" panose="02040503050406030204" pitchFamily="18" charset="0"/>
                                </a:rPr>
                                <m:t>=1</m:t>
                              </m:r>
                            </m:e>
                          </m:mr>
                        </m:m>
                      </m:e>
                    </m:d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400-000002000000}"/>
                </a:ext>
              </a:extLst>
            </xdr:cNvPr>
            <xdr:cNvSpPr txBox="1"/>
          </xdr:nvSpPr>
          <xdr:spPr>
            <a:xfrm>
              <a:off x="3599778" y="291689"/>
              <a:ext cx="1616276" cy="6178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800" i="0">
                  <a:latin typeface="Cambria Math" panose="02040503050406030204" pitchFamily="18" charset="0"/>
                </a:rPr>
                <a:t>{■(</a:t>
              </a:r>
              <a:r>
                <a:rPr lang="en-US" sz="1800" b="0" i="0">
                  <a:latin typeface="Cambria Math" panose="02040503050406030204" pitchFamily="18" charset="0"/>
                </a:rPr>
                <a:t>5</a:t>
              </a:r>
              <a:r>
                <a:rPr lang="ru-RU" sz="1800" i="0">
                  <a:latin typeface="Cambria Math" panose="02040503050406030204" pitchFamily="18" charset="0"/>
                </a:rPr>
                <a:t>𝑥^2+</a:t>
              </a:r>
              <a:r>
                <a:rPr lang="en-US" sz="1800" b="0" i="0">
                  <a:latin typeface="Cambria Math" panose="02040503050406030204" pitchFamily="18" charset="0"/>
                </a:rPr>
                <a:t>2</a:t>
              </a:r>
              <a:r>
                <a:rPr lang="ru-RU" sz="1800" i="0">
                  <a:latin typeface="Cambria Math" panose="02040503050406030204" pitchFamily="18" charset="0"/>
                </a:rPr>
                <a:t>𝑦^2=</a:t>
              </a:r>
              <a:r>
                <a:rPr lang="en-US" sz="1800" b="0" i="0">
                  <a:latin typeface="Cambria Math" panose="02040503050406030204" pitchFamily="18" charset="0"/>
                </a:rPr>
                <a:t>4</a:t>
              </a:r>
              <a:r>
                <a:rPr lang="ru-RU" sz="1800" b="0" i="0">
                  <a:latin typeface="Cambria Math" panose="02040503050406030204" pitchFamily="18" charset="0"/>
                </a:rPr>
                <a:t>@</a:t>
              </a:r>
              <a:r>
                <a:rPr lang="en-US" sz="1800" b="0" i="0">
                  <a:latin typeface="Cambria Math" panose="02040503050406030204" pitchFamily="18" charset="0"/>
                </a:rPr>
                <a:t>2</a:t>
              </a:r>
              <a:r>
                <a:rPr lang="ru-RU" sz="1800" i="0">
                  <a:latin typeface="Cambria Math" panose="02040503050406030204" pitchFamily="18" charset="0"/>
                </a:rPr>
                <a:t>𝑥+</a:t>
              </a:r>
              <a:r>
                <a:rPr lang="en-US" sz="1800" b="0" i="0">
                  <a:latin typeface="Cambria Math" panose="02040503050406030204" pitchFamily="18" charset="0"/>
                </a:rPr>
                <a:t>7</a:t>
              </a:r>
              <a:r>
                <a:rPr lang="ru-RU" sz="1800" i="0">
                  <a:latin typeface="Cambria Math" panose="02040503050406030204" pitchFamily="18" charset="0"/>
                </a:rPr>
                <a:t>𝑦=</a:t>
              </a:r>
              <a:r>
                <a:rPr lang="en-US" sz="1800" b="0" i="0">
                  <a:latin typeface="Cambria Math" panose="02040503050406030204" pitchFamily="18" charset="0"/>
                </a:rPr>
                <a:t>1</a:t>
              </a:r>
              <a:r>
                <a:rPr lang="ru-RU" sz="1800" b="0" i="0">
                  <a:latin typeface="Cambria Math" panose="02040503050406030204" pitchFamily="18" charset="0"/>
                </a:rPr>
                <a:t>)┤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3</xdr:col>
      <xdr:colOff>556260</xdr:colOff>
      <xdr:row>37</xdr:row>
      <xdr:rowOff>7620</xdr:rowOff>
    </xdr:from>
    <xdr:to>
      <xdr:col>13</xdr:col>
      <xdr:colOff>510540</xdr:colOff>
      <xdr:row>60</xdr:row>
      <xdr:rowOff>144780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"/>
  <sheetViews>
    <sheetView tabSelected="1" workbookViewId="0">
      <selection activeCell="L19" sqref="L19"/>
    </sheetView>
  </sheetViews>
  <sheetFormatPr defaultRowHeight="14.4" x14ac:dyDescent="0.3"/>
  <cols>
    <col min="1" max="1" width="19.44140625" customWidth="1"/>
    <col min="2" max="2" width="20.6640625" customWidth="1"/>
  </cols>
  <sheetData>
    <row r="1" spans="1:22" x14ac:dyDescent="0.3">
      <c r="A1" s="47" t="s">
        <v>48</v>
      </c>
      <c r="B1" s="47"/>
      <c r="C1" s="47"/>
      <c r="D1" s="47"/>
      <c r="E1" s="47"/>
    </row>
    <row r="3" spans="1:22" x14ac:dyDescent="0.3">
      <c r="A3" s="44" t="s">
        <v>0</v>
      </c>
      <c r="B3" s="45"/>
      <c r="C3" s="45"/>
      <c r="D3" s="45"/>
      <c r="E3" s="46"/>
    </row>
    <row r="4" spans="1:22" ht="15.6" x14ac:dyDescent="0.3">
      <c r="A4" s="2" t="s">
        <v>1</v>
      </c>
      <c r="B4" s="2" t="s">
        <v>3</v>
      </c>
      <c r="C4" s="2" t="s">
        <v>4</v>
      </c>
      <c r="D4" s="2" t="s">
        <v>2</v>
      </c>
      <c r="E4" s="2" t="s">
        <v>5</v>
      </c>
    </row>
    <row r="5" spans="1:22" x14ac:dyDescent="0.3">
      <c r="A5" s="1">
        <v>1</v>
      </c>
      <c r="B5" s="1">
        <v>-3</v>
      </c>
      <c r="C5" s="1">
        <v>-4</v>
      </c>
      <c r="D5" s="1">
        <v>-1</v>
      </c>
      <c r="E5" s="1">
        <v>-3</v>
      </c>
    </row>
    <row r="7" spans="1:22" x14ac:dyDescent="0.3">
      <c r="A7" s="9" t="s">
        <v>6</v>
      </c>
      <c r="B7" s="6">
        <f>1/(1+ABS(MAX(A5,B5,C5,D5))/ABS(E5))</f>
        <v>0.75</v>
      </c>
    </row>
    <row r="8" spans="1:22" x14ac:dyDescent="0.3">
      <c r="A8" s="9" t="s">
        <v>7</v>
      </c>
      <c r="B8" s="6">
        <f>1+ (MAX(B5,C5,D5,E5))/ABS(A5)</f>
        <v>0</v>
      </c>
    </row>
    <row r="10" spans="1:22" x14ac:dyDescent="0.3">
      <c r="A10" s="4" t="s">
        <v>8</v>
      </c>
      <c r="B10" s="5">
        <v>0.15372127884167477</v>
      </c>
      <c r="C10" s="7">
        <f>B10+($B$8-$B$7)/10</f>
        <v>7.8721278841674777E-2</v>
      </c>
      <c r="D10" s="7">
        <f t="shared" ref="D10:G10" si="0">C10+($B$8-$B$7)/10</f>
        <v>3.72127884167478E-3</v>
      </c>
      <c r="E10" s="7">
        <f t="shared" si="0"/>
        <v>-7.1278721158325217E-2</v>
      </c>
      <c r="F10" s="7">
        <f t="shared" si="0"/>
        <v>-0.14627872115832521</v>
      </c>
      <c r="G10" s="7">
        <f t="shared" si="0"/>
        <v>-0.2212787211583252</v>
      </c>
      <c r="H10" s="6">
        <f t="shared" ref="E10:L10" si="1">G10+($B$8-$B$7)/10</f>
        <v>-0.29627872115832521</v>
      </c>
      <c r="I10" s="6">
        <f t="shared" si="1"/>
        <v>-0.37127872115832522</v>
      </c>
      <c r="J10" s="6">
        <f t="shared" si="1"/>
        <v>-0.44627872115832523</v>
      </c>
      <c r="K10" s="6">
        <f t="shared" si="1"/>
        <v>-0.52127872115832519</v>
      </c>
      <c r="L10" s="6">
        <f t="shared" si="1"/>
        <v>-0.59627872115832514</v>
      </c>
    </row>
    <row r="11" spans="1:22" x14ac:dyDescent="0.3">
      <c r="A11" s="4" t="s">
        <v>9</v>
      </c>
      <c r="B11" s="59">
        <f>B10^4-3*B10^3-4*B10^2-B10-4</f>
        <v>-4.2585812255207687</v>
      </c>
      <c r="C11" s="8">
        <f>C10^4-3*C10^3-4*C10^2-C10-4</f>
        <v>-4.1049345511906594</v>
      </c>
      <c r="D11" s="8">
        <f t="shared" ref="D11:L11" si="2">D10^4-3*D10^3-4*D10^2-D10-4</f>
        <v>-4.0037768249106529</v>
      </c>
      <c r="E11" s="8">
        <f t="shared" si="2"/>
        <v>-3.947931662129021</v>
      </c>
      <c r="F11" s="8">
        <f t="shared" si="2"/>
        <v>-3.9294633032940363</v>
      </c>
      <c r="G11" s="8">
        <f t="shared" si="2"/>
        <v>-3.9396766138539703</v>
      </c>
      <c r="H11" s="8">
        <f t="shared" si="2"/>
        <v>-3.9691170842570953</v>
      </c>
      <c r="I11" s="8">
        <f t="shared" si="2"/>
        <v>-4.0075708299516828</v>
      </c>
      <c r="J11" s="8">
        <f t="shared" si="2"/>
        <v>-4.0440645913860047</v>
      </c>
      <c r="K11" s="8">
        <f t="shared" si="2"/>
        <v>-4.0668657340083332</v>
      </c>
      <c r="L11" s="8">
        <f t="shared" si="2"/>
        <v>-4.0634822482669417</v>
      </c>
    </row>
    <row r="13" spans="1:22" x14ac:dyDescent="0.3">
      <c r="A13" s="9" t="s">
        <v>6</v>
      </c>
      <c r="B13" s="6">
        <v>-10</v>
      </c>
    </row>
    <row r="14" spans="1:22" x14ac:dyDescent="0.3">
      <c r="A14" s="9" t="s">
        <v>7</v>
      </c>
      <c r="B14" s="6">
        <v>-1E-3</v>
      </c>
    </row>
    <row r="16" spans="1:22" x14ac:dyDescent="0.3">
      <c r="A16" s="4" t="s">
        <v>8</v>
      </c>
      <c r="B16" s="6">
        <v>-10</v>
      </c>
      <c r="C16" s="6">
        <f>B16-($B$13-$B$14)/10</f>
        <v>-9.0000999999999998</v>
      </c>
      <c r="D16" s="6">
        <f t="shared" ref="D16:V16" si="3">C16-($B$13-$B$14)/10</f>
        <v>-8.0001999999999995</v>
      </c>
      <c r="E16" s="6">
        <f t="shared" si="3"/>
        <v>-7.0002999999999993</v>
      </c>
      <c r="F16" s="6">
        <f t="shared" si="3"/>
        <v>-6.0003999999999991</v>
      </c>
      <c r="G16" s="6">
        <f t="shared" si="3"/>
        <v>-5.0004999999999988</v>
      </c>
      <c r="H16" s="6">
        <f t="shared" si="3"/>
        <v>-4.0005999999999986</v>
      </c>
      <c r="I16" s="6">
        <f t="shared" si="3"/>
        <v>-3.0006999999999984</v>
      </c>
      <c r="J16" s="6">
        <f t="shared" si="3"/>
        <v>-2.0007999999999981</v>
      </c>
      <c r="K16" s="6">
        <f t="shared" si="3"/>
        <v>-1.0008999999999981</v>
      </c>
      <c r="L16" s="6">
        <f t="shared" si="3"/>
        <v>-9.9999999999811351E-4</v>
      </c>
      <c r="M16" s="6">
        <f t="shared" si="3"/>
        <v>0.9989000000000019</v>
      </c>
      <c r="N16" s="6">
        <f t="shared" si="3"/>
        <v>1.9988000000000019</v>
      </c>
      <c r="O16" s="6">
        <f t="shared" si="3"/>
        <v>2.9987000000000021</v>
      </c>
      <c r="P16" s="6">
        <f t="shared" si="3"/>
        <v>3.9986000000000024</v>
      </c>
      <c r="Q16" s="6">
        <f t="shared" si="3"/>
        <v>4.9985000000000026</v>
      </c>
      <c r="R16" s="6">
        <f t="shared" si="3"/>
        <v>5.9984000000000028</v>
      </c>
      <c r="S16" s="6">
        <f t="shared" si="3"/>
        <v>6.9983000000000031</v>
      </c>
      <c r="T16" s="6">
        <f t="shared" si="3"/>
        <v>7.9982000000000033</v>
      </c>
      <c r="U16" s="6">
        <f t="shared" si="3"/>
        <v>8.9981000000000027</v>
      </c>
      <c r="V16" s="6">
        <f t="shared" si="3"/>
        <v>9.9980000000000029</v>
      </c>
    </row>
    <row r="17" spans="1:22" x14ac:dyDescent="0.3">
      <c r="A17" s="4" t="s">
        <v>9</v>
      </c>
      <c r="B17" s="6">
        <f>B16^4-3*B16^3-4*B16^2-B16-3</f>
        <v>12607</v>
      </c>
      <c r="C17" s="6">
        <f t="shared" ref="C17:V17" si="4">C16^4-3*C16^3-4*C16^2-C16-3</f>
        <v>8430.3574056300386</v>
      </c>
      <c r="D17" s="6">
        <f t="shared" si="4"/>
        <v>5381.51221808028</v>
      </c>
      <c r="E17" s="6">
        <f t="shared" si="4"/>
        <v>3238.5274317708358</v>
      </c>
      <c r="F17" s="6">
        <f t="shared" si="4"/>
        <v>1803.4564425617268</v>
      </c>
      <c r="G17" s="6">
        <f t="shared" si="4"/>
        <v>902.34304775287421</v>
      </c>
      <c r="H17" s="6">
        <f t="shared" si="4"/>
        <v>385.22144608410366</v>
      </c>
      <c r="I17" s="6">
        <f t="shared" si="4"/>
        <v>126.11623773514498</v>
      </c>
      <c r="J17" s="59">
        <f t="shared" si="4"/>
        <v>23.042424325632304</v>
      </c>
      <c r="K17" s="59">
        <f t="shared" si="4"/>
        <v>-1.9945910848963553</v>
      </c>
      <c r="L17" s="8">
        <f t="shared" si="4"/>
        <v>-2.9990039969990017</v>
      </c>
      <c r="M17" s="6">
        <f t="shared" si="4"/>
        <v>-9.9846084713295618</v>
      </c>
      <c r="N17" s="6">
        <f t="shared" si="4"/>
        <v>-28.974797128637967</v>
      </c>
      <c r="O17" s="6">
        <f t="shared" si="4"/>
        <v>-42.002561149770131</v>
      </c>
      <c r="P17" s="59">
        <f t="shared" si="4"/>
        <v>-7.110490275667984</v>
      </c>
      <c r="Q17" s="59">
        <f t="shared" si="4"/>
        <v>141.64922719263072</v>
      </c>
      <c r="R17" s="6">
        <f t="shared" si="4"/>
        <v>494.21480439399198</v>
      </c>
      <c r="S17" s="6">
        <f t="shared" si="4"/>
        <v>1164.5148559071865</v>
      </c>
      <c r="T17" s="6">
        <f t="shared" si="4"/>
        <v>2290.4683977508871</v>
      </c>
      <c r="U17" s="6">
        <f t="shared" si="4"/>
        <v>4033.9848473836723</v>
      </c>
      <c r="V17" s="6">
        <f t="shared" si="4"/>
        <v>6580.9640237040239</v>
      </c>
    </row>
  </sheetData>
  <mergeCells count="2">
    <mergeCell ref="A3:E3"/>
    <mergeCell ref="A1:E1"/>
  </mergeCells>
  <pageMargins left="0.7" right="0.7" top="0.75" bottom="0.75" header="0.3" footer="0.3"/>
  <pageSetup paperSize="9" orientation="portrait" horizont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"/>
  <sheetViews>
    <sheetView zoomScale="85" zoomScaleNormal="85" workbookViewId="0">
      <selection activeCell="F3" sqref="F3"/>
    </sheetView>
  </sheetViews>
  <sheetFormatPr defaultRowHeight="14.4" x14ac:dyDescent="0.3"/>
  <cols>
    <col min="1" max="1" width="21.44140625" customWidth="1"/>
    <col min="2" max="2" width="15.109375" customWidth="1"/>
    <col min="3" max="3" width="14.109375" customWidth="1"/>
    <col min="5" max="5" width="20.33203125" customWidth="1"/>
    <col min="7" max="7" width="12.33203125" customWidth="1"/>
    <col min="8" max="8" width="13.33203125" customWidth="1"/>
    <col min="9" max="9" width="11.33203125" customWidth="1"/>
    <col min="11" max="11" width="12.109375" customWidth="1"/>
    <col min="12" max="12" width="11.33203125" customWidth="1"/>
    <col min="13" max="13" width="14.5546875" customWidth="1"/>
  </cols>
  <sheetData>
    <row r="1" spans="1:13" x14ac:dyDescent="0.3">
      <c r="A1" s="47" t="s">
        <v>49</v>
      </c>
      <c r="B1" s="47"/>
      <c r="C1" s="47"/>
      <c r="D1" s="47"/>
      <c r="E1" s="47"/>
      <c r="F1" s="10"/>
      <c r="G1" s="10"/>
      <c r="K1" t="s">
        <v>19</v>
      </c>
    </row>
    <row r="2" spans="1:13" x14ac:dyDescent="0.3">
      <c r="A2" t="s">
        <v>14</v>
      </c>
    </row>
    <row r="4" spans="1:13" ht="28.8" x14ac:dyDescent="0.3">
      <c r="A4" s="38" t="s">
        <v>15</v>
      </c>
      <c r="B4" s="39" t="s">
        <v>16</v>
      </c>
      <c r="C4" s="39" t="s">
        <v>17</v>
      </c>
      <c r="G4" s="48" t="s">
        <v>18</v>
      </c>
      <c r="H4" s="48"/>
      <c r="I4" s="48"/>
      <c r="K4" s="48" t="s">
        <v>18</v>
      </c>
      <c r="L4" s="48"/>
      <c r="M4" s="48"/>
    </row>
    <row r="5" spans="1:13" ht="43.2" x14ac:dyDescent="0.3">
      <c r="A5" s="1">
        <v>0</v>
      </c>
      <c r="B5" s="37">
        <v>0.1</v>
      </c>
      <c r="C5" s="6"/>
      <c r="G5" s="40" t="s">
        <v>15</v>
      </c>
      <c r="H5" s="41" t="s">
        <v>16</v>
      </c>
      <c r="I5" s="41" t="s">
        <v>17</v>
      </c>
      <c r="K5" s="43" t="s">
        <v>15</v>
      </c>
      <c r="L5" s="41" t="s">
        <v>16</v>
      </c>
      <c r="M5" s="41" t="s">
        <v>17</v>
      </c>
    </row>
    <row r="6" spans="1:13" x14ac:dyDescent="0.3">
      <c r="A6" s="1">
        <v>1</v>
      </c>
      <c r="B6" s="37">
        <f>B5-0.25*(B5+ LN(B5)-0.5)</f>
        <v>0.77564627324851132</v>
      </c>
      <c r="C6" s="1" t="str">
        <f>IF(ABS(B6-B5)&lt;=0.0001,"СТОП","ДАЛЬШЕ")</f>
        <v>ДАЛЬШЕ</v>
      </c>
      <c r="G6" s="1">
        <v>0</v>
      </c>
      <c r="H6" s="1">
        <v>1</v>
      </c>
      <c r="I6" s="1"/>
      <c r="K6" s="1">
        <v>0</v>
      </c>
      <c r="L6" s="1">
        <v>0.1</v>
      </c>
      <c r="M6" s="1"/>
    </row>
    <row r="7" spans="1:13" x14ac:dyDescent="0.3">
      <c r="A7" s="1">
        <v>2</v>
      </c>
      <c r="B7" s="37">
        <f t="shared" ref="B7:B15" si="0">B6-0.25*(B6+ LN(B6)-0.5)</f>
        <v>0.77024937897768464</v>
      </c>
      <c r="C7" s="1" t="str">
        <f t="shared" ref="C7:C15" si="1">IF(ABS(B7-B6)&lt;=0.0001,"СТОП","ДАЛЬШЕ")</f>
        <v>ДАЛЬШЕ</v>
      </c>
      <c r="G7" s="1">
        <v>1</v>
      </c>
      <c r="H7" s="1">
        <f>H6-(H6+ LN(H6)-0.5)/(4*H6)</f>
        <v>0.875</v>
      </c>
      <c r="I7" s="1" t="str">
        <f>IF(ABS(H7-H6)&lt;=0.0001,"СТОП","ДАЛЬШЕ")</f>
        <v>ДАЛЬШЕ</v>
      </c>
      <c r="K7" s="1">
        <v>1</v>
      </c>
      <c r="L7" s="1">
        <f>L6-(L6+ LN(L6)-0.5)/(4*L6)</f>
        <v>6.8564627324851131</v>
      </c>
      <c r="M7" s="1" t="str">
        <f>IF(ABS(L7-L6)&lt;=0.0001,"СТОП","ДАЛЬШЕ")</f>
        <v>ДАЛЬШЕ</v>
      </c>
    </row>
    <row r="8" spans="1:13" x14ac:dyDescent="0.3">
      <c r="A8" s="1">
        <v>3</v>
      </c>
      <c r="B8" s="37">
        <f t="shared" si="0"/>
        <v>0.76794727117486328</v>
      </c>
      <c r="C8" s="1" t="str">
        <f t="shared" si="1"/>
        <v>ДАЛЬШЕ</v>
      </c>
      <c r="G8" s="1">
        <v>2</v>
      </c>
      <c r="H8" s="1">
        <f t="shared" ref="H8:H10" si="2">H7-(H7+ LN(H7)-0.5)/(4*H7)</f>
        <v>0.80600896932129218</v>
      </c>
      <c r="I8" s="1" t="str">
        <f t="shared" ref="I8:I10" si="3">IF(ABS(H8-H7)&lt;=0.0001,"СТОП","ДАЛЬШЕ")</f>
        <v>ДАЛЬШЕ</v>
      </c>
      <c r="K8" s="1">
        <v>2</v>
      </c>
      <c r="L8" s="1">
        <f t="shared" ref="L8:L14" si="4">L7-(2*L7^2-1)/(4*L7)</f>
        <v>3.4646933160487632</v>
      </c>
      <c r="M8" s="1" t="str">
        <f t="shared" ref="M8:M10" si="5">IF(ABS(L8-L7)&lt;=0.0001,"СТОП","ДАЛЬШЕ")</f>
        <v>ДАЛЬШЕ</v>
      </c>
    </row>
    <row r="9" spans="1:13" x14ac:dyDescent="0.3">
      <c r="A9" s="1">
        <v>4</v>
      </c>
      <c r="B9" s="37">
        <f t="shared" si="0"/>
        <v>0.76696900476011831</v>
      </c>
      <c r="C9" s="1" t="str">
        <f t="shared" si="1"/>
        <v>ДАЛЬШЕ</v>
      </c>
      <c r="G9" s="1">
        <v>3</v>
      </c>
      <c r="H9" s="1">
        <f t="shared" si="2"/>
        <v>0.77798553397102144</v>
      </c>
      <c r="I9" s="1" t="str">
        <f t="shared" si="3"/>
        <v>ДАЛЬШЕ</v>
      </c>
      <c r="K9" s="1">
        <v>3</v>
      </c>
      <c r="L9" s="1">
        <f t="shared" si="4"/>
        <v>1.8045031166759968</v>
      </c>
      <c r="M9" s="1" t="str">
        <f t="shared" si="5"/>
        <v>ДАЛЬШЕ</v>
      </c>
    </row>
    <row r="10" spans="1:13" x14ac:dyDescent="0.3">
      <c r="A10" s="1">
        <v>5</v>
      </c>
      <c r="B10" s="37">
        <f t="shared" si="0"/>
        <v>0.76655397592888486</v>
      </c>
      <c r="C10" s="1" t="str">
        <f t="shared" si="1"/>
        <v>ДАЛЬШЕ</v>
      </c>
      <c r="G10" s="1">
        <v>4</v>
      </c>
      <c r="H10" s="1">
        <f t="shared" si="2"/>
        <v>0.76932914386138551</v>
      </c>
      <c r="I10" s="1" t="str">
        <f t="shared" si="3"/>
        <v>ДАЛЬШЕ</v>
      </c>
      <c r="K10" s="1">
        <v>4</v>
      </c>
      <c r="L10" s="1">
        <f t="shared" si="4"/>
        <v>1.0407938516095752</v>
      </c>
      <c r="M10" s="1" t="str">
        <f t="shared" si="5"/>
        <v>ДАЛЬШЕ</v>
      </c>
    </row>
    <row r="11" spans="1:13" x14ac:dyDescent="0.3">
      <c r="A11" s="1">
        <v>6</v>
      </c>
      <c r="B11" s="37">
        <f>B10-0.25*(B10+ LN(B10)-0.5)</f>
        <v>0.76637802306057223</v>
      </c>
      <c r="C11" s="1" t="str">
        <f t="shared" si="1"/>
        <v>ДАЛЬШЕ</v>
      </c>
      <c r="G11" s="1">
        <v>5</v>
      </c>
      <c r="H11" s="1">
        <f t="shared" ref="H11:H13" si="6">H10-(H10+ LN(H10)-0.5)/(4*H10)</f>
        <v>0.76702429219502066</v>
      </c>
      <c r="I11" s="1" t="str">
        <f t="shared" ref="I11:I13" si="7">IF(ABS(H11-H10)&lt;=0.0001,"СТОП","ДАЛЬШЕ")</f>
        <v>ДАЛЬШЕ</v>
      </c>
      <c r="K11" s="1">
        <v>5</v>
      </c>
      <c r="L11" s="1">
        <f t="shared" si="4"/>
        <v>0.7605981910345716</v>
      </c>
      <c r="M11" s="1" t="str">
        <f t="shared" ref="M11:M13" si="8">IF(ABS(L11-L10)&lt;=0.0001,"СТОП","ДАЛЬШЕ")</f>
        <v>ДАЛЬШЕ</v>
      </c>
    </row>
    <row r="12" spans="1:13" x14ac:dyDescent="0.3">
      <c r="A12" s="1">
        <v>7</v>
      </c>
      <c r="B12" s="37">
        <f t="shared" si="0"/>
        <v>0.76630344936640604</v>
      </c>
      <c r="C12" s="1" t="str">
        <f t="shared" si="1"/>
        <v>СТОП</v>
      </c>
      <c r="G12" s="1">
        <v>6</v>
      </c>
      <c r="H12" s="1">
        <f t="shared" si="6"/>
        <v>0.76644168816335834</v>
      </c>
      <c r="I12" s="1" t="str">
        <f t="shared" si="7"/>
        <v>ДАЛЬШЕ</v>
      </c>
      <c r="K12" s="1">
        <v>6</v>
      </c>
      <c r="L12" s="1">
        <f t="shared" si="4"/>
        <v>0.70898775524174296</v>
      </c>
      <c r="M12" s="1" t="str">
        <f t="shared" si="8"/>
        <v>ДАЛЬШЕ</v>
      </c>
    </row>
    <row r="13" spans="1:13" x14ac:dyDescent="0.3">
      <c r="G13" s="1">
        <v>7</v>
      </c>
      <c r="H13" s="1">
        <f t="shared" si="6"/>
        <v>0.76629652736685627</v>
      </c>
      <c r="I13" s="1" t="str">
        <f t="shared" si="7"/>
        <v>ДАЛЬШЕ</v>
      </c>
      <c r="K13" s="1">
        <v>7</v>
      </c>
      <c r="L13" s="1">
        <f t="shared" si="4"/>
        <v>0.70710927633781784</v>
      </c>
      <c r="M13" s="1" t="str">
        <f t="shared" si="8"/>
        <v>ДАЛЬШЕ</v>
      </c>
    </row>
    <row r="14" spans="1:13" x14ac:dyDescent="0.3">
      <c r="G14" s="1">
        <v>8</v>
      </c>
      <c r="H14" s="1">
        <f t="shared" ref="H14" si="9">H13-(H13+ LN(H13)-0.5)/(4*H13)</f>
        <v>0.76626049214483594</v>
      </c>
      <c r="I14" s="1" t="str">
        <f t="shared" ref="I14" si="10">IF(ABS(H14-H13)&lt;=0.0001,"СТОП","ДАЛЬШЕ")</f>
        <v>СТОП</v>
      </c>
      <c r="K14" s="1">
        <v>8</v>
      </c>
      <c r="L14" s="1">
        <f t="shared" si="4"/>
        <v>0.70710678119094972</v>
      </c>
      <c r="M14" s="1" t="str">
        <f t="shared" ref="M14" si="11">IF(ABS(L14-L13)&lt;=0.0001,"СТОП","ДАЛЬШЕ")</f>
        <v>СТОП</v>
      </c>
    </row>
    <row r="16" spans="1:13" x14ac:dyDescent="0.3">
      <c r="B16" s="11"/>
    </row>
    <row r="17" spans="2:2" x14ac:dyDescent="0.3">
      <c r="B17" s="11"/>
    </row>
    <row r="18" spans="2:2" x14ac:dyDescent="0.3">
      <c r="B18" s="11"/>
    </row>
  </sheetData>
  <mergeCells count="3">
    <mergeCell ref="G4:I4"/>
    <mergeCell ref="K4:M4"/>
    <mergeCell ref="A1:E1"/>
  </mergeCells>
  <pageMargins left="0.7" right="0.7" top="0.75" bottom="0.75" header="0.3" footer="0.3"/>
  <pageSetup paperSize="9" orientation="portrait" horizontalDpi="300" verticalDpi="0" copies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9"/>
  <sheetViews>
    <sheetView workbookViewId="0">
      <selection activeCell="N10" sqref="N10"/>
    </sheetView>
  </sheetViews>
  <sheetFormatPr defaultRowHeight="14.4" x14ac:dyDescent="0.3"/>
  <cols>
    <col min="5" max="5" width="16.5546875" customWidth="1"/>
    <col min="6" max="6" width="24.6640625" customWidth="1"/>
  </cols>
  <sheetData>
    <row r="1" spans="1:19" x14ac:dyDescent="0.3">
      <c r="A1" s="49" t="s">
        <v>50</v>
      </c>
      <c r="B1" s="49"/>
      <c r="C1" s="49"/>
      <c r="D1" s="49"/>
      <c r="E1" s="49"/>
      <c r="F1" s="49"/>
    </row>
    <row r="3" spans="1:19" x14ac:dyDescent="0.3">
      <c r="A3" s="14" t="s">
        <v>20</v>
      </c>
      <c r="B3" s="14" t="s">
        <v>21</v>
      </c>
      <c r="C3" s="14" t="s">
        <v>22</v>
      </c>
      <c r="D3" s="14" t="s">
        <v>23</v>
      </c>
      <c r="E3" s="14" t="s">
        <v>24</v>
      </c>
      <c r="O3" s="14" t="s">
        <v>20</v>
      </c>
      <c r="P3" s="14" t="s">
        <v>21</v>
      </c>
      <c r="Q3" s="14" t="s">
        <v>22</v>
      </c>
      <c r="R3" s="14" t="s">
        <v>23</v>
      </c>
      <c r="S3" s="14" t="s">
        <v>24</v>
      </c>
    </row>
    <row r="4" spans="1:19" x14ac:dyDescent="0.3">
      <c r="A4" s="1">
        <v>0</v>
      </c>
      <c r="B4" s="1">
        <v>0.1</v>
      </c>
      <c r="C4" s="1">
        <v>2</v>
      </c>
      <c r="D4" s="1">
        <f>(B4+C4)/2</f>
        <v>1.05</v>
      </c>
      <c r="E4" s="1"/>
      <c r="O4" s="1">
        <v>0</v>
      </c>
      <c r="P4" s="1">
        <v>2</v>
      </c>
      <c r="Q4" s="1">
        <v>-1</v>
      </c>
      <c r="R4" s="1">
        <f>(P4+Q4)/2</f>
        <v>0.5</v>
      </c>
      <c r="S4" s="1"/>
    </row>
    <row r="5" spans="1:19" x14ac:dyDescent="0.3">
      <c r="A5" s="1">
        <v>1</v>
      </c>
      <c r="B5" s="1">
        <f>IF(((B4+ LN(B4)-0.5)*(D4+ LN(D4)-0.5))&lt;0,B4,C4)</f>
        <v>0.1</v>
      </c>
      <c r="C5" s="1">
        <f>D4</f>
        <v>1.05</v>
      </c>
      <c r="D5" s="1">
        <f>(B5+C5)/2</f>
        <v>0.57500000000000007</v>
      </c>
      <c r="E5" s="1" t="str">
        <f>IF(ABS(D5-D4)&lt;0.0001,"СТОП","ДАЛЬШЕ")</f>
        <v>ДАЛЬШЕ</v>
      </c>
      <c r="O5" s="1">
        <v>1</v>
      </c>
      <c r="P5" s="1">
        <f>IF(((P4+ LN(P4)-0.5)*(R4+ LN(R4)-0.5))&lt;0,P4,Q4)</f>
        <v>2</v>
      </c>
      <c r="Q5" s="1">
        <f>R4</f>
        <v>0.5</v>
      </c>
      <c r="R5" s="1">
        <f>(P5+Q5)/2</f>
        <v>1.25</v>
      </c>
      <c r="S5" s="1" t="str">
        <f>IF(ABS(R5-R4)&lt;0.0001,"СТОП","ДАЛЬШЕ")</f>
        <v>ДАЛЬШЕ</v>
      </c>
    </row>
    <row r="6" spans="1:19" x14ac:dyDescent="0.3">
      <c r="A6" s="1">
        <v>2</v>
      </c>
      <c r="B6" s="1">
        <f t="shared" ref="B6:B14" si="0">IF(((2*B5^2-1)*(2*D5^2-1))&lt;0,B5,C5)</f>
        <v>1.05</v>
      </c>
      <c r="C6" s="1">
        <f t="shared" ref="C6:C19" si="1">D5</f>
        <v>0.57500000000000007</v>
      </c>
      <c r="D6" s="1">
        <f t="shared" ref="D6:D14" si="2">(B6+C6)/2</f>
        <v>0.8125</v>
      </c>
      <c r="E6" s="1" t="str">
        <f t="shared" ref="E6:E19" si="3">IF(ABS(D6-D5)&lt;0.0001,"СТОП","ДАЛЬШЕ")</f>
        <v>ДАЛЬШЕ</v>
      </c>
      <c r="O6" s="1">
        <v>2</v>
      </c>
      <c r="P6" s="1">
        <f t="shared" ref="P6:P14" si="4">IF(((2*P5^2-1)*(2*R5^2-1))&lt;0,P5,Q5)</f>
        <v>0.5</v>
      </c>
      <c r="Q6" s="1">
        <f t="shared" ref="Q6:Q19" si="5">R5</f>
        <v>1.25</v>
      </c>
      <c r="R6" s="1">
        <f t="shared" ref="R6:R14" si="6">(P6+Q6)/2</f>
        <v>0.875</v>
      </c>
      <c r="S6" s="1" t="str">
        <f t="shared" ref="S6:S19" si="7">IF(ABS(R6-R5)&lt;0.0001,"СТОП","ДАЛЬШЕ")</f>
        <v>ДАЛЬШЕ</v>
      </c>
    </row>
    <row r="7" spans="1:19" x14ac:dyDescent="0.3">
      <c r="A7" s="1">
        <v>3</v>
      </c>
      <c r="B7" s="1">
        <f t="shared" si="0"/>
        <v>0.57500000000000007</v>
      </c>
      <c r="C7" s="1">
        <f t="shared" si="1"/>
        <v>0.8125</v>
      </c>
      <c r="D7" s="1">
        <f t="shared" si="2"/>
        <v>0.69375000000000009</v>
      </c>
      <c r="E7" s="1" t="str">
        <f t="shared" si="3"/>
        <v>ДАЛЬШЕ</v>
      </c>
      <c r="O7" s="1">
        <v>3</v>
      </c>
      <c r="P7" s="1">
        <f t="shared" si="4"/>
        <v>0.5</v>
      </c>
      <c r="Q7" s="1">
        <f t="shared" si="5"/>
        <v>0.875</v>
      </c>
      <c r="R7" s="1">
        <f t="shared" si="6"/>
        <v>0.6875</v>
      </c>
      <c r="S7" s="1" t="str">
        <f t="shared" si="7"/>
        <v>ДАЛЬШЕ</v>
      </c>
    </row>
    <row r="8" spans="1:19" x14ac:dyDescent="0.3">
      <c r="A8" s="1">
        <v>4</v>
      </c>
      <c r="B8" s="1">
        <f t="shared" si="0"/>
        <v>0.8125</v>
      </c>
      <c r="C8" s="1">
        <f t="shared" si="1"/>
        <v>0.69375000000000009</v>
      </c>
      <c r="D8" s="1">
        <f t="shared" si="2"/>
        <v>0.75312500000000004</v>
      </c>
      <c r="E8" s="1" t="str">
        <f t="shared" si="3"/>
        <v>ДАЛЬШЕ</v>
      </c>
      <c r="O8" s="1">
        <v>4</v>
      </c>
      <c r="P8" s="1">
        <f t="shared" si="4"/>
        <v>0.875</v>
      </c>
      <c r="Q8" s="1">
        <f t="shared" si="5"/>
        <v>0.6875</v>
      </c>
      <c r="R8" s="1">
        <f t="shared" si="6"/>
        <v>0.78125</v>
      </c>
      <c r="S8" s="1" t="str">
        <f t="shared" si="7"/>
        <v>ДАЛЬШЕ</v>
      </c>
    </row>
    <row r="9" spans="1:19" x14ac:dyDescent="0.3">
      <c r="A9" s="1">
        <v>5</v>
      </c>
      <c r="B9" s="1">
        <f t="shared" si="0"/>
        <v>0.69375000000000009</v>
      </c>
      <c r="C9" s="1">
        <f t="shared" si="1"/>
        <v>0.75312500000000004</v>
      </c>
      <c r="D9" s="1">
        <f t="shared" si="2"/>
        <v>0.72343750000000007</v>
      </c>
      <c r="E9" s="1" t="str">
        <f t="shared" si="3"/>
        <v>ДАЛЬШЕ</v>
      </c>
      <c r="O9" s="1">
        <v>5</v>
      </c>
      <c r="P9" s="1">
        <f t="shared" si="4"/>
        <v>0.6875</v>
      </c>
      <c r="Q9" s="1">
        <f t="shared" si="5"/>
        <v>0.78125</v>
      </c>
      <c r="R9" s="1">
        <f t="shared" si="6"/>
        <v>0.734375</v>
      </c>
      <c r="S9" s="1" t="str">
        <f t="shared" si="7"/>
        <v>ДАЛЬШЕ</v>
      </c>
    </row>
    <row r="10" spans="1:19" x14ac:dyDescent="0.3">
      <c r="A10" s="1">
        <v>6</v>
      </c>
      <c r="B10" s="1">
        <f t="shared" si="0"/>
        <v>0.69375000000000009</v>
      </c>
      <c r="C10" s="1">
        <f t="shared" si="1"/>
        <v>0.72343750000000007</v>
      </c>
      <c r="D10" s="1">
        <f t="shared" si="2"/>
        <v>0.70859375000000013</v>
      </c>
      <c r="E10" s="1" t="str">
        <f t="shared" si="3"/>
        <v>ДАЛЬШЕ</v>
      </c>
      <c r="O10" s="1">
        <v>6</v>
      </c>
      <c r="P10" s="1">
        <f t="shared" si="4"/>
        <v>0.6875</v>
      </c>
      <c r="Q10" s="1">
        <f t="shared" si="5"/>
        <v>0.734375</v>
      </c>
      <c r="R10" s="1">
        <f t="shared" si="6"/>
        <v>0.7109375</v>
      </c>
      <c r="S10" s="1" t="str">
        <f t="shared" si="7"/>
        <v>ДАЛЬШЕ</v>
      </c>
    </row>
    <row r="11" spans="1:19" x14ac:dyDescent="0.3">
      <c r="A11" s="1">
        <v>7</v>
      </c>
      <c r="B11" s="1">
        <f t="shared" si="0"/>
        <v>0.69375000000000009</v>
      </c>
      <c r="C11" s="1">
        <f t="shared" si="1"/>
        <v>0.70859375000000013</v>
      </c>
      <c r="D11" s="1">
        <f t="shared" si="2"/>
        <v>0.70117187500000011</v>
      </c>
      <c r="E11" s="1" t="str">
        <f t="shared" si="3"/>
        <v>ДАЛЬШЕ</v>
      </c>
      <c r="O11" s="1">
        <v>7</v>
      </c>
      <c r="P11" s="1">
        <f t="shared" si="4"/>
        <v>0.6875</v>
      </c>
      <c r="Q11" s="1">
        <f t="shared" si="5"/>
        <v>0.7109375</v>
      </c>
      <c r="R11" s="1">
        <f t="shared" si="6"/>
        <v>0.69921875</v>
      </c>
      <c r="S11" s="1" t="str">
        <f t="shared" si="7"/>
        <v>ДАЛЬШЕ</v>
      </c>
    </row>
    <row r="12" spans="1:19" x14ac:dyDescent="0.3">
      <c r="A12" s="1">
        <v>8</v>
      </c>
      <c r="B12" s="1">
        <f t="shared" si="0"/>
        <v>0.70859375000000013</v>
      </c>
      <c r="C12" s="1">
        <f t="shared" si="1"/>
        <v>0.70117187500000011</v>
      </c>
      <c r="D12" s="1">
        <f t="shared" si="2"/>
        <v>0.70488281250000018</v>
      </c>
      <c r="E12" s="1" t="str">
        <f t="shared" si="3"/>
        <v>ДАЛЬШЕ</v>
      </c>
      <c r="O12" s="1">
        <v>8</v>
      </c>
      <c r="P12" s="1">
        <f t="shared" si="4"/>
        <v>0.7109375</v>
      </c>
      <c r="Q12" s="1">
        <f t="shared" si="5"/>
        <v>0.69921875</v>
      </c>
      <c r="R12" s="1">
        <f t="shared" si="6"/>
        <v>0.705078125</v>
      </c>
      <c r="S12" s="1" t="str">
        <f t="shared" si="7"/>
        <v>ДАЛЬШЕ</v>
      </c>
    </row>
    <row r="13" spans="1:19" x14ac:dyDescent="0.3">
      <c r="A13" s="1">
        <v>9</v>
      </c>
      <c r="B13" s="1">
        <f t="shared" si="0"/>
        <v>0.70859375000000013</v>
      </c>
      <c r="C13" s="1">
        <f t="shared" si="1"/>
        <v>0.70488281250000018</v>
      </c>
      <c r="D13" s="1">
        <f t="shared" si="2"/>
        <v>0.70673828125000016</v>
      </c>
      <c r="E13" s="1" t="str">
        <f t="shared" si="3"/>
        <v>ДАЛЬШЕ</v>
      </c>
      <c r="O13" s="1">
        <v>9</v>
      </c>
      <c r="P13" s="1">
        <f t="shared" si="4"/>
        <v>0.7109375</v>
      </c>
      <c r="Q13" s="1">
        <f t="shared" si="5"/>
        <v>0.705078125</v>
      </c>
      <c r="R13" s="1">
        <f t="shared" si="6"/>
        <v>0.7080078125</v>
      </c>
      <c r="S13" s="1" t="str">
        <f t="shared" si="7"/>
        <v>ДАЛЬШЕ</v>
      </c>
    </row>
    <row r="14" spans="1:19" x14ac:dyDescent="0.3">
      <c r="A14" s="1">
        <v>10</v>
      </c>
      <c r="B14" s="1">
        <f t="shared" si="0"/>
        <v>0.70859375000000013</v>
      </c>
      <c r="C14" s="1">
        <f t="shared" si="1"/>
        <v>0.70673828125000016</v>
      </c>
      <c r="D14" s="1">
        <f t="shared" si="2"/>
        <v>0.70766601562500009</v>
      </c>
      <c r="E14" s="1" t="str">
        <f t="shared" si="3"/>
        <v>ДАЛЬШЕ</v>
      </c>
      <c r="O14" s="1">
        <v>10</v>
      </c>
      <c r="P14" s="1">
        <f t="shared" si="4"/>
        <v>0.705078125</v>
      </c>
      <c r="Q14" s="1">
        <f t="shared" si="5"/>
        <v>0.7080078125</v>
      </c>
      <c r="R14" s="1">
        <f t="shared" si="6"/>
        <v>0.70654296875</v>
      </c>
      <c r="S14" s="1" t="str">
        <f t="shared" si="7"/>
        <v>ДАЛЬШЕ</v>
      </c>
    </row>
    <row r="15" spans="1:19" x14ac:dyDescent="0.3">
      <c r="A15" s="1">
        <v>11</v>
      </c>
      <c r="B15" s="1">
        <f>IF(((2*B14^2-1)*(2*D14^2-1))&lt;0,B14,C14)</f>
        <v>0.70673828125000016</v>
      </c>
      <c r="C15" s="1">
        <f>D14</f>
        <v>0.70766601562500009</v>
      </c>
      <c r="D15" s="1">
        <f>(B15+C15)/2</f>
        <v>0.70720214843750018</v>
      </c>
      <c r="E15" s="1" t="str">
        <f t="shared" si="3"/>
        <v>ДАЛЬШЕ</v>
      </c>
      <c r="O15" s="1">
        <v>11</v>
      </c>
      <c r="P15" s="1">
        <f>IF(((2*P14^2-1)*(2*R14^2-1))&lt;0,P14,Q14)</f>
        <v>0.7080078125</v>
      </c>
      <c r="Q15" s="1">
        <f>R14</f>
        <v>0.70654296875</v>
      </c>
      <c r="R15" s="1">
        <f>(P15+Q15)/2</f>
        <v>0.707275390625</v>
      </c>
      <c r="S15" s="1" t="str">
        <f t="shared" si="7"/>
        <v>ДАЛЬШЕ</v>
      </c>
    </row>
    <row r="16" spans="1:19" x14ac:dyDescent="0.3">
      <c r="A16" s="1">
        <v>12</v>
      </c>
      <c r="B16" s="1">
        <f t="shared" ref="B16" si="8">IF(((2*B15^2-1)*(2*D15^2-1))&lt;0,B15,C15)</f>
        <v>0.70673828125000016</v>
      </c>
      <c r="C16" s="1">
        <f t="shared" si="1"/>
        <v>0.70720214843750018</v>
      </c>
      <c r="D16" s="1">
        <f t="shared" ref="D16" si="9">(B16+C16)/2</f>
        <v>0.70697021484375022</v>
      </c>
      <c r="E16" s="1" t="str">
        <f t="shared" si="3"/>
        <v>ДАЛЬШЕ</v>
      </c>
      <c r="O16" s="1">
        <v>12</v>
      </c>
      <c r="P16" s="1">
        <f t="shared" ref="P16" si="10">IF(((2*P15^2-1)*(2*R15^2-1))&lt;0,P15,Q15)</f>
        <v>0.70654296875</v>
      </c>
      <c r="Q16" s="1">
        <f t="shared" ref="Q16:Q19" si="11">R15</f>
        <v>0.707275390625</v>
      </c>
      <c r="R16" s="1">
        <f t="shared" ref="R16" si="12">(P16+Q16)/2</f>
        <v>0.7069091796875</v>
      </c>
      <c r="S16" s="1" t="str">
        <f t="shared" si="7"/>
        <v>ДАЛЬШЕ</v>
      </c>
    </row>
    <row r="17" spans="1:19" x14ac:dyDescent="0.3">
      <c r="A17" s="1">
        <v>13</v>
      </c>
      <c r="B17" s="1">
        <f>IF(((2*B16^2-1)*(2*D16^2-1))&lt;0,B16,C16)</f>
        <v>0.70720214843750018</v>
      </c>
      <c r="C17" s="1">
        <f>D16</f>
        <v>0.70697021484375022</v>
      </c>
      <c r="D17" s="1">
        <f>(B17+C17)/2</f>
        <v>0.7070861816406252</v>
      </c>
      <c r="E17" s="1" t="str">
        <f t="shared" si="3"/>
        <v>ДАЛЬШЕ</v>
      </c>
      <c r="O17" s="1">
        <v>13</v>
      </c>
      <c r="P17" s="1">
        <f>IF(((2*P16^2-1)*(2*R16^2-1))&lt;0,P16,Q16)</f>
        <v>0.707275390625</v>
      </c>
      <c r="Q17" s="1">
        <f>R16</f>
        <v>0.7069091796875</v>
      </c>
      <c r="R17" s="1">
        <f>(P17+Q17)/2</f>
        <v>0.70709228515625</v>
      </c>
      <c r="S17" s="1" t="str">
        <f t="shared" si="7"/>
        <v>ДАЛЬШЕ</v>
      </c>
    </row>
    <row r="18" spans="1:19" x14ac:dyDescent="0.3">
      <c r="A18" s="1">
        <v>14</v>
      </c>
      <c r="B18" s="1">
        <f t="shared" ref="B18" si="13">IF(((2*B17^2-1)*(2*D17^2-1))&lt;0,B17,C17)</f>
        <v>0.70720214843750018</v>
      </c>
      <c r="C18" s="1">
        <f t="shared" si="1"/>
        <v>0.7070861816406252</v>
      </c>
      <c r="D18" s="1">
        <f t="shared" ref="D18" si="14">(B18+C18)/2</f>
        <v>0.70714416503906263</v>
      </c>
      <c r="E18" s="1" t="str">
        <f t="shared" si="3"/>
        <v>СТОП</v>
      </c>
      <c r="O18" s="1">
        <v>14</v>
      </c>
      <c r="P18" s="1">
        <f t="shared" ref="P18:P19" si="15">IF(((2*P17^2-1)*(2*R17^2-1))&lt;0,P17,Q17)</f>
        <v>0.707275390625</v>
      </c>
      <c r="Q18" s="1">
        <f t="shared" ref="Q18:Q19" si="16">R17</f>
        <v>0.70709228515625</v>
      </c>
      <c r="R18" s="1">
        <f t="shared" ref="R18:R19" si="17">(P18+Q18)/2</f>
        <v>0.707183837890625</v>
      </c>
      <c r="S18" s="1" t="str">
        <f t="shared" si="7"/>
        <v>СТОП</v>
      </c>
    </row>
    <row r="19" spans="1:19" x14ac:dyDescent="0.3">
      <c r="A19" s="1">
        <v>15</v>
      </c>
      <c r="B19" s="1">
        <f t="shared" ref="B19" si="18">IF(((2*B18^2-1)*(2*D18^2-1))&lt;0,B18,C18)</f>
        <v>0.7070861816406252</v>
      </c>
      <c r="C19" s="1">
        <f t="shared" si="1"/>
        <v>0.70714416503906263</v>
      </c>
      <c r="D19" s="1">
        <f t="shared" ref="D19" si="19">(B19+C19)/2</f>
        <v>0.70711517333984397</v>
      </c>
      <c r="E19" s="1" t="str">
        <f t="shared" si="3"/>
        <v>СТОП</v>
      </c>
      <c r="O19" s="1">
        <v>15</v>
      </c>
      <c r="P19" s="1">
        <f t="shared" si="15"/>
        <v>0.70709228515625</v>
      </c>
      <c r="Q19" s="1">
        <f t="shared" si="16"/>
        <v>0.707183837890625</v>
      </c>
      <c r="R19" s="1">
        <f t="shared" si="17"/>
        <v>0.7071380615234375</v>
      </c>
      <c r="S19" s="1" t="str">
        <f t="shared" si="7"/>
        <v>СТОП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0"/>
  <sheetViews>
    <sheetView workbookViewId="0">
      <selection activeCell="H4" sqref="H4"/>
    </sheetView>
  </sheetViews>
  <sheetFormatPr defaultRowHeight="14.4" x14ac:dyDescent="0.3"/>
  <cols>
    <col min="3" max="3" width="12.6640625" bestFit="1" customWidth="1"/>
    <col min="4" max="4" width="13.6640625" customWidth="1"/>
    <col min="6" max="6" width="16.6640625" customWidth="1"/>
  </cols>
  <sheetData>
    <row r="1" spans="1:17" x14ac:dyDescent="0.3">
      <c r="A1" s="47" t="s">
        <v>52</v>
      </c>
      <c r="B1" s="47"/>
      <c r="C1" s="47"/>
      <c r="D1" s="47"/>
      <c r="E1" s="47"/>
    </row>
    <row r="2" spans="1:17" x14ac:dyDescent="0.3">
      <c r="A2" s="13"/>
      <c r="B2" s="13"/>
      <c r="C2" s="13"/>
      <c r="D2" s="13"/>
      <c r="E2" s="13"/>
      <c r="F2" s="13"/>
      <c r="G2" s="13"/>
    </row>
    <row r="3" spans="1:17" x14ac:dyDescent="0.3">
      <c r="A3" s="51"/>
      <c r="B3" s="51"/>
      <c r="C3" s="51"/>
      <c r="D3" s="13"/>
      <c r="E3" s="13"/>
      <c r="F3" s="13"/>
      <c r="G3" s="13"/>
    </row>
    <row r="4" spans="1:17" x14ac:dyDescent="0.3">
      <c r="A4" s="13"/>
      <c r="B4" s="13"/>
      <c r="C4" s="13"/>
      <c r="D4" s="13"/>
      <c r="E4" s="13"/>
      <c r="F4" s="13"/>
      <c r="G4" s="13"/>
    </row>
    <row r="5" spans="1:17" x14ac:dyDescent="0.3">
      <c r="A5" s="13"/>
      <c r="B5" s="13"/>
      <c r="C5" s="13"/>
      <c r="D5" s="13"/>
      <c r="E5" s="13"/>
      <c r="F5" s="13"/>
      <c r="G5" s="13"/>
    </row>
    <row r="6" spans="1:17" x14ac:dyDescent="0.3">
      <c r="A6" s="13"/>
      <c r="B6" s="13"/>
      <c r="C6" s="13"/>
      <c r="D6" s="13"/>
      <c r="E6" s="13"/>
      <c r="F6" s="13"/>
      <c r="G6" s="13"/>
    </row>
    <row r="7" spans="1:17" x14ac:dyDescent="0.3">
      <c r="A7" s="13"/>
      <c r="B7" s="13"/>
      <c r="C7" s="13"/>
      <c r="D7" s="13"/>
      <c r="E7" s="13"/>
      <c r="F7" s="13"/>
      <c r="G7" s="13"/>
    </row>
    <row r="8" spans="1:17" x14ac:dyDescent="0.3">
      <c r="A8" s="13"/>
      <c r="B8" s="52" t="s">
        <v>25</v>
      </c>
      <c r="C8" s="52"/>
      <c r="D8" s="52"/>
      <c r="E8" s="52"/>
      <c r="F8" s="13"/>
      <c r="G8" s="52" t="s">
        <v>29</v>
      </c>
      <c r="H8" s="52"/>
      <c r="I8" s="52"/>
    </row>
    <row r="9" spans="1:17" x14ac:dyDescent="0.3">
      <c r="A9" s="13"/>
      <c r="B9" s="13"/>
      <c r="C9" s="13"/>
      <c r="D9" s="13"/>
      <c r="E9" s="13"/>
      <c r="F9" s="13"/>
      <c r="G9" s="13"/>
    </row>
    <row r="10" spans="1:17" x14ac:dyDescent="0.3">
      <c r="A10" s="13">
        <v>1</v>
      </c>
      <c r="B10" s="56">
        <v>0.21</v>
      </c>
      <c r="C10" s="56">
        <v>-0.18</v>
      </c>
      <c r="D10" s="57">
        <v>0.75</v>
      </c>
      <c r="E10" s="57">
        <v>0.11</v>
      </c>
      <c r="F10" s="17">
        <v>1</v>
      </c>
      <c r="G10" s="6">
        <v>0.21</v>
      </c>
      <c r="H10" s="6">
        <v>-0.18</v>
      </c>
      <c r="I10" s="7">
        <v>0.75</v>
      </c>
      <c r="J10" s="15"/>
    </row>
    <row r="11" spans="1:17" x14ac:dyDescent="0.3">
      <c r="A11" s="13"/>
      <c r="B11" s="56">
        <v>0.13</v>
      </c>
      <c r="C11" s="56">
        <v>-0.75</v>
      </c>
      <c r="D11" s="56">
        <v>-0.11</v>
      </c>
      <c r="E11" s="57">
        <v>2</v>
      </c>
      <c r="F11" s="13"/>
      <c r="G11" s="6">
        <v>0.13</v>
      </c>
      <c r="H11" s="6">
        <v>-0.75</v>
      </c>
      <c r="I11" s="6">
        <v>-0.11</v>
      </c>
      <c r="J11" s="15"/>
    </row>
    <row r="12" spans="1:17" x14ac:dyDescent="0.3">
      <c r="A12" s="13"/>
      <c r="B12" s="56">
        <v>3.01</v>
      </c>
      <c r="C12" s="56">
        <v>-0.33</v>
      </c>
      <c r="D12" s="56">
        <v>0.11</v>
      </c>
      <c r="E12" s="57">
        <v>0.13</v>
      </c>
      <c r="F12" s="13"/>
      <c r="G12" s="6">
        <v>3.01</v>
      </c>
      <c r="H12" s="6">
        <v>-0.33</v>
      </c>
      <c r="I12" s="6">
        <v>0.11</v>
      </c>
      <c r="J12" s="15"/>
    </row>
    <row r="13" spans="1:17" x14ac:dyDescent="0.3">
      <c r="A13" s="13"/>
      <c r="B13" s="13"/>
      <c r="C13" s="13"/>
      <c r="D13" s="13"/>
      <c r="E13" s="13"/>
      <c r="F13" s="13"/>
      <c r="G13" s="13"/>
    </row>
    <row r="14" spans="1:17" x14ac:dyDescent="0.3">
      <c r="A14" s="13">
        <v>2</v>
      </c>
      <c r="B14" s="6">
        <f t="array" ref="B14:D16">MINVERSE(B10:D12)</f>
        <v>-6.9957495521660334E-2</v>
      </c>
      <c r="C14" s="6">
        <v>-0.13408519974984898</v>
      </c>
      <c r="D14" s="6">
        <v>0.34289772426147147</v>
      </c>
      <c r="E14" s="13"/>
      <c r="F14" s="13"/>
      <c r="G14" s="18" t="s">
        <v>30</v>
      </c>
      <c r="H14" s="6">
        <f>MDETERM(G10:I12)</f>
        <v>1.6981740000000001</v>
      </c>
    </row>
    <row r="15" spans="1:17" x14ac:dyDescent="0.3">
      <c r="A15" s="13"/>
      <c r="B15" s="6">
        <v>-0.20339494068334577</v>
      </c>
      <c r="C15" s="6">
        <v>-1.3157662289023386</v>
      </c>
      <c r="D15" s="6">
        <v>7.1017457575018816E-2</v>
      </c>
      <c r="E15" s="13"/>
      <c r="F15" s="13"/>
      <c r="G15" s="13"/>
    </row>
    <row r="16" spans="1:17" x14ac:dyDescent="0.3">
      <c r="A16" s="13"/>
      <c r="B16" s="6">
        <v>1.3041066463153952</v>
      </c>
      <c r="C16" s="6">
        <v>-0.27824003900660355</v>
      </c>
      <c r="D16" s="6">
        <v>-7.8967172975207486E-2</v>
      </c>
      <c r="E16" s="13"/>
      <c r="F16" s="13">
        <v>2</v>
      </c>
      <c r="G16" s="57">
        <v>0.11</v>
      </c>
      <c r="H16" s="56">
        <v>-0.18</v>
      </c>
      <c r="I16" s="57">
        <v>0.75</v>
      </c>
      <c r="J16" s="58"/>
      <c r="K16" s="56">
        <v>0.21</v>
      </c>
      <c r="L16" s="57">
        <v>0.11</v>
      </c>
      <c r="M16" s="57">
        <v>0.75</v>
      </c>
      <c r="N16" s="58"/>
      <c r="O16" s="56">
        <v>0.21</v>
      </c>
      <c r="P16" s="56">
        <v>-0.18</v>
      </c>
      <c r="Q16" s="57">
        <v>0.11</v>
      </c>
    </row>
    <row r="17" spans="1:17" x14ac:dyDescent="0.3">
      <c r="A17" s="13"/>
      <c r="B17" s="13"/>
      <c r="C17" s="13"/>
      <c r="D17" s="13"/>
      <c r="E17" s="13"/>
      <c r="F17" s="13"/>
      <c r="G17" s="57">
        <v>2</v>
      </c>
      <c r="H17" s="56">
        <v>-0.75</v>
      </c>
      <c r="I17" s="56">
        <v>-0.11</v>
      </c>
      <c r="J17" s="58"/>
      <c r="K17" s="56">
        <v>0.13</v>
      </c>
      <c r="L17" s="57">
        <v>2</v>
      </c>
      <c r="M17" s="56">
        <v>-0.11</v>
      </c>
      <c r="N17" s="58"/>
      <c r="O17" s="56">
        <v>0.13</v>
      </c>
      <c r="P17" s="56">
        <v>-0.75</v>
      </c>
      <c r="Q17" s="57">
        <v>2</v>
      </c>
    </row>
    <row r="18" spans="1:17" x14ac:dyDescent="0.3">
      <c r="A18">
        <v>3</v>
      </c>
      <c r="B18" s="16" t="s">
        <v>26</v>
      </c>
      <c r="C18" s="6">
        <f t="array" ref="C18:C20">MMULT(B14:D16,E10:E12)</f>
        <v>-0.23128901985308931</v>
      </c>
      <c r="G18" s="57">
        <v>0.13</v>
      </c>
      <c r="H18" s="56">
        <v>-0.33</v>
      </c>
      <c r="I18" s="56">
        <v>0.11</v>
      </c>
      <c r="J18" s="58"/>
      <c r="K18" s="56">
        <v>3.01</v>
      </c>
      <c r="L18" s="57">
        <v>0.13</v>
      </c>
      <c r="M18" s="56">
        <v>0.11</v>
      </c>
      <c r="N18" s="58"/>
      <c r="O18" s="56">
        <v>3.01</v>
      </c>
      <c r="P18" s="56">
        <v>-0.33</v>
      </c>
      <c r="Q18" s="57">
        <v>0.13</v>
      </c>
    </row>
    <row r="19" spans="1:17" x14ac:dyDescent="0.3">
      <c r="B19" s="16" t="s">
        <v>27</v>
      </c>
      <c r="C19" s="6">
        <v>-2.6446736317950927</v>
      </c>
    </row>
    <row r="20" spans="1:17" x14ac:dyDescent="0.3">
      <c r="B20" s="16" t="s">
        <v>28</v>
      </c>
      <c r="C20" s="6">
        <v>-0.42329407940529062</v>
      </c>
      <c r="G20" s="18" t="s">
        <v>31</v>
      </c>
      <c r="H20" s="6">
        <f>MDETERM(G16:I18)</f>
        <v>-0.39276899999999998</v>
      </c>
      <c r="K20" s="18" t="s">
        <v>32</v>
      </c>
      <c r="L20" s="6">
        <f>MDETERM(K16:M18)</f>
        <v>-4.4911159999999999</v>
      </c>
      <c r="O20" s="18" t="s">
        <v>36</v>
      </c>
      <c r="P20" s="7">
        <f>MDETERM(O16:Q18)</f>
        <v>-0.71882699999999988</v>
      </c>
    </row>
    <row r="21" spans="1:17" x14ac:dyDescent="0.3">
      <c r="G21" s="16" t="s">
        <v>33</v>
      </c>
      <c r="H21" s="6">
        <f>H20/H14</f>
        <v>-0.23128901985308925</v>
      </c>
      <c r="K21" s="16" t="s">
        <v>34</v>
      </c>
      <c r="L21" s="6">
        <f>L20/H14</f>
        <v>-2.6446736317950927</v>
      </c>
      <c r="O21" s="16" t="s">
        <v>35</v>
      </c>
      <c r="P21" s="7">
        <f>P20/H14</f>
        <v>-0.42329407940529051</v>
      </c>
    </row>
    <row r="24" spans="1:17" x14ac:dyDescent="0.3">
      <c r="B24" s="52" t="s">
        <v>51</v>
      </c>
      <c r="C24" s="52"/>
      <c r="D24" s="52"/>
      <c r="E24" s="52"/>
      <c r="F24" s="52"/>
      <c r="G24" s="52"/>
    </row>
    <row r="25" spans="1:17" ht="28.8" x14ac:dyDescent="0.3">
      <c r="B25" s="50" t="s">
        <v>12</v>
      </c>
      <c r="C25" s="50"/>
      <c r="D25" s="50"/>
      <c r="E25" s="20" t="s">
        <v>13</v>
      </c>
      <c r="F25" s="20" t="s">
        <v>10</v>
      </c>
      <c r="G25" s="21" t="s">
        <v>11</v>
      </c>
    </row>
    <row r="26" spans="1:17" x14ac:dyDescent="0.3">
      <c r="B26" s="56">
        <v>0.21</v>
      </c>
      <c r="C26" s="56">
        <v>-0.18</v>
      </c>
      <c r="D26" s="57">
        <v>0.75</v>
      </c>
      <c r="E26" s="57">
        <v>0.11</v>
      </c>
      <c r="F26" s="6"/>
      <c r="G26" s="6">
        <v>0.21</v>
      </c>
    </row>
    <row r="27" spans="1:17" x14ac:dyDescent="0.3">
      <c r="B27" s="56">
        <v>0.13</v>
      </c>
      <c r="C27" s="56">
        <v>-0.75</v>
      </c>
      <c r="D27" s="56">
        <v>-0.11</v>
      </c>
      <c r="E27" s="57">
        <v>2</v>
      </c>
      <c r="F27" s="6"/>
      <c r="G27" s="6"/>
    </row>
    <row r="28" spans="1:17" x14ac:dyDescent="0.3">
      <c r="B28" s="56">
        <v>3.01</v>
      </c>
      <c r="C28" s="56">
        <v>-0.33</v>
      </c>
      <c r="D28" s="56">
        <v>0.11</v>
      </c>
      <c r="E28" s="57">
        <v>0.13</v>
      </c>
      <c r="F28" s="6"/>
      <c r="G28" s="6"/>
    </row>
    <row r="29" spans="1:17" x14ac:dyDescent="0.3">
      <c r="B29" s="6"/>
      <c r="C29" s="6"/>
      <c r="D29" s="6"/>
      <c r="E29" s="6"/>
      <c r="F29" s="6"/>
      <c r="G29" s="6"/>
    </row>
    <row r="30" spans="1:17" x14ac:dyDescent="0.3">
      <c r="B30" s="6">
        <f t="array" ref="B30:E30">B26:E26/B26</f>
        <v>1</v>
      </c>
      <c r="C30" s="6">
        <v>-0.8571428571428571</v>
      </c>
      <c r="D30" s="6">
        <v>3.5714285714285716</v>
      </c>
      <c r="E30" s="6">
        <v>0.52380952380952384</v>
      </c>
      <c r="F30" s="6"/>
      <c r="G30" s="6"/>
    </row>
    <row r="31" spans="1:17" x14ac:dyDescent="0.3">
      <c r="B31" s="6">
        <f t="array" ref="B31:E31">B27:E27-$B$30:$E$30*B27</f>
        <v>0</v>
      </c>
      <c r="C31" s="6">
        <v>-0.63857142857142857</v>
      </c>
      <c r="D31" s="6">
        <v>-0.57428571428571429</v>
      </c>
      <c r="E31" s="6">
        <v>1.9319047619047618</v>
      </c>
      <c r="F31" s="6"/>
      <c r="G31" s="6">
        <v>-0.63857142899999997</v>
      </c>
    </row>
    <row r="32" spans="1:17" x14ac:dyDescent="0.3">
      <c r="B32" s="12">
        <f t="array" ref="B32:E32">B28:E28-$B$30:$E$30*B28</f>
        <v>0</v>
      </c>
      <c r="C32" s="12">
        <v>2.2499999999999996</v>
      </c>
      <c r="D32" s="12">
        <v>-10.64</v>
      </c>
      <c r="E32" s="12">
        <v>-1.4466666666666668</v>
      </c>
      <c r="F32" s="12"/>
      <c r="G32" s="12"/>
    </row>
    <row r="33" spans="2:7" x14ac:dyDescent="0.3">
      <c r="B33" s="6"/>
      <c r="C33" s="6"/>
      <c r="D33" s="6"/>
      <c r="E33" s="6"/>
      <c r="F33" s="6"/>
      <c r="G33" s="6"/>
    </row>
    <row r="34" spans="2:7" x14ac:dyDescent="0.3">
      <c r="B34" s="6">
        <f t="array" ref="B34:E34">B30:E30/B30</f>
        <v>1</v>
      </c>
      <c r="C34" s="6">
        <v>-0.8571428571428571</v>
      </c>
      <c r="D34" s="6">
        <v>3.5714285714285716</v>
      </c>
      <c r="E34" s="6">
        <v>0.52380952380952384</v>
      </c>
      <c r="F34" s="23"/>
      <c r="G34" s="23"/>
    </row>
    <row r="35" spans="2:7" x14ac:dyDescent="0.3">
      <c r="B35" s="6">
        <f t="array" ref="B35:E35">B31:E31/C31</f>
        <v>0</v>
      </c>
      <c r="C35" s="6">
        <v>1</v>
      </c>
      <c r="D35" s="6">
        <v>0.89932885906040272</v>
      </c>
      <c r="E35" s="6">
        <v>-3.0253542132736762</v>
      </c>
      <c r="F35" s="6"/>
      <c r="G35" s="6"/>
    </row>
    <row r="36" spans="2:7" x14ac:dyDescent="0.3">
      <c r="B36" s="6">
        <f t="array" ref="B36:E36">B32:E32-$B$35:$E$35*C32</f>
        <v>0</v>
      </c>
      <c r="C36" s="6">
        <v>0</v>
      </c>
      <c r="D36" s="6">
        <v>-12.663489932885906</v>
      </c>
      <c r="E36" s="6">
        <v>5.3603803131991032</v>
      </c>
      <c r="F36" s="6"/>
      <c r="G36" s="6">
        <v>-12.663489930000001</v>
      </c>
    </row>
    <row r="37" spans="2:7" x14ac:dyDescent="0.3">
      <c r="B37" s="6"/>
      <c r="C37" s="6"/>
      <c r="D37" s="6"/>
      <c r="E37" s="6"/>
      <c r="F37" s="6"/>
      <c r="G37" s="6"/>
    </row>
    <row r="38" spans="2:7" ht="28.8" x14ac:dyDescent="0.3">
      <c r="B38" s="6">
        <f t="array" ref="B38:E38">B34:E34/B34</f>
        <v>1</v>
      </c>
      <c r="C38" s="6">
        <v>-0.8571428571428571</v>
      </c>
      <c r="D38" s="6">
        <v>3.5714285714285716</v>
      </c>
      <c r="E38" s="6">
        <v>0.52380952380952384</v>
      </c>
      <c r="F38" s="19">
        <f>E38-D38*E40-C38*F39</f>
        <v>-0.2312921644761512</v>
      </c>
      <c r="G38" s="22" t="s">
        <v>37</v>
      </c>
    </row>
    <row r="39" spans="2:7" x14ac:dyDescent="0.3">
      <c r="B39" s="6">
        <f t="array" ref="B39:E39">B35:E35/C35</f>
        <v>0</v>
      </c>
      <c r="C39" s="6">
        <v>1</v>
      </c>
      <c r="D39" s="6">
        <v>0.89932885906040272</v>
      </c>
      <c r="E39" s="6">
        <v>-3.0253542132736762</v>
      </c>
      <c r="F39" s="19">
        <f>E39-D39*F40</f>
        <v>-2.6446773005219981</v>
      </c>
      <c r="G39" s="6">
        <f>G26*G31*G36</f>
        <v>1.698174000752714</v>
      </c>
    </row>
    <row r="40" spans="2:7" x14ac:dyDescent="0.3">
      <c r="B40" s="6">
        <f t="array" ref="B40:E40">B36:E36/D36</f>
        <v>0</v>
      </c>
      <c r="C40" s="6">
        <v>0</v>
      </c>
      <c r="D40" s="6">
        <v>1</v>
      </c>
      <c r="E40" s="6">
        <v>-0.42329407940529051</v>
      </c>
      <c r="F40" s="19">
        <v>-0.42329</v>
      </c>
      <c r="G40" s="6"/>
    </row>
  </sheetData>
  <mergeCells count="6">
    <mergeCell ref="B25:D25"/>
    <mergeCell ref="A3:C3"/>
    <mergeCell ref="B8:E8"/>
    <mergeCell ref="G8:I8"/>
    <mergeCell ref="B24:G24"/>
    <mergeCell ref="A1:E1"/>
  </mergeCells>
  <pageMargins left="0.7" right="0.7" top="0.75" bottom="0.75" header="0.3" footer="0.3"/>
  <pageSetup paperSize="9" orientation="portrait" horizontalDpi="300" verticalDpi="0" copies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44"/>
  <sheetViews>
    <sheetView topLeftCell="B1" zoomScale="85" zoomScaleNormal="85" workbookViewId="0">
      <selection activeCell="I9" sqref="I9"/>
    </sheetView>
  </sheetViews>
  <sheetFormatPr defaultRowHeight="14.4" x14ac:dyDescent="0.3"/>
  <cols>
    <col min="3" max="3" width="9.88671875" bestFit="1" customWidth="1"/>
    <col min="12" max="12" width="12" bestFit="1" customWidth="1"/>
    <col min="13" max="13" width="12.6640625" bestFit="1" customWidth="1"/>
  </cols>
  <sheetData>
    <row r="1" spans="1:26" x14ac:dyDescent="0.3">
      <c r="A1" s="47" t="s">
        <v>52</v>
      </c>
      <c r="B1" s="47"/>
      <c r="C1" s="47"/>
      <c r="D1" s="47"/>
      <c r="E1" s="47"/>
    </row>
    <row r="2" spans="1:26" x14ac:dyDescent="0.3">
      <c r="A2" s="53" t="s">
        <v>39</v>
      </c>
      <c r="B2" s="54"/>
      <c r="C2" s="54"/>
    </row>
    <row r="3" spans="1:26" ht="15.6" customHeight="1" x14ac:dyDescent="0.3">
      <c r="A3" s="27" t="s">
        <v>8</v>
      </c>
      <c r="B3" s="27" t="s">
        <v>40</v>
      </c>
      <c r="C3" s="3" t="s">
        <v>44</v>
      </c>
      <c r="D3" s="27" t="s">
        <v>41</v>
      </c>
      <c r="L3" s="25" t="s">
        <v>8</v>
      </c>
      <c r="M3" s="25" t="s">
        <v>38</v>
      </c>
      <c r="O3" s="25" t="s">
        <v>8</v>
      </c>
      <c r="P3" s="25" t="s">
        <v>38</v>
      </c>
    </row>
    <row r="4" spans="1:26" x14ac:dyDescent="0.3">
      <c r="A4" s="6">
        <v>-1.2</v>
      </c>
      <c r="B4" s="6">
        <f>((3-2*A4^2)/5)^0.5</f>
        <v>0.15491933384829673</v>
      </c>
      <c r="C4" s="6">
        <f>-SQRT((3-2*A4^2)/5)</f>
        <v>-0.15491933384829673</v>
      </c>
      <c r="D4" s="6">
        <f t="shared" ref="D4:D24" si="0">(3-5*A4)/9</f>
        <v>1</v>
      </c>
      <c r="L4" s="2">
        <v>-0.60941804868036642</v>
      </c>
      <c r="M4" s="2">
        <v>0.67189777575282517</v>
      </c>
      <c r="O4" s="29">
        <v>1.1320682000745461</v>
      </c>
      <c r="P4" s="30">
        <v>-0.29557761788408643</v>
      </c>
    </row>
    <row r="5" spans="1:26" x14ac:dyDescent="0.3">
      <c r="A5" s="6">
        <v>-1.1000000000000001</v>
      </c>
      <c r="B5" s="6">
        <f t="shared" ref="B5:B24" si="1">SQRT((3-2*A5^2)/5)</f>
        <v>0.34058772731852793</v>
      </c>
      <c r="C5" s="6">
        <f t="shared" ref="C5:C24" si="2">-SQRT((3-2*A5^2)/5)</f>
        <v>-0.34058772731852793</v>
      </c>
      <c r="D5" s="6">
        <f t="shared" si="0"/>
        <v>0.94444444444444442</v>
      </c>
    </row>
    <row r="6" spans="1:26" x14ac:dyDescent="0.3">
      <c r="A6" s="6">
        <v>-1</v>
      </c>
      <c r="B6" s="6">
        <f t="shared" si="1"/>
        <v>0.44721359549995793</v>
      </c>
      <c r="C6" s="6">
        <f t="shared" si="2"/>
        <v>-0.44721359549995793</v>
      </c>
      <c r="D6" s="6">
        <f t="shared" si="0"/>
        <v>0.88888888888888884</v>
      </c>
      <c r="K6" t="s">
        <v>42</v>
      </c>
      <c r="L6">
        <f>5*L4^2+2*M4^2 - 4</f>
        <v>-1.2401549675898851</v>
      </c>
      <c r="M6">
        <f>2*L4+7*M4-1</f>
        <v>2.4844483329090434</v>
      </c>
      <c r="O6">
        <f>5*O4^2+2*P4^2 - 4</f>
        <v>2.582624304488176</v>
      </c>
      <c r="P6">
        <f>2*O4+7*P4-1</f>
        <v>-0.80490692503951289</v>
      </c>
    </row>
    <row r="7" spans="1:26" x14ac:dyDescent="0.3">
      <c r="A7" s="6">
        <v>-0.9</v>
      </c>
      <c r="B7" s="6">
        <f t="shared" si="1"/>
        <v>0.52535702146254781</v>
      </c>
      <c r="C7" s="6">
        <f t="shared" si="2"/>
        <v>-0.52535702146254781</v>
      </c>
      <c r="D7" s="6">
        <f t="shared" si="0"/>
        <v>0.83333333333333337</v>
      </c>
      <c r="K7" s="26" t="s">
        <v>43</v>
      </c>
      <c r="L7">
        <f>L6^2+M6^2</f>
        <v>7.7104678625323944</v>
      </c>
      <c r="O7">
        <f>O6^2+P6^2</f>
        <v>7.3178234561095996</v>
      </c>
    </row>
    <row r="8" spans="1:26" x14ac:dyDescent="0.3">
      <c r="A8" s="7">
        <v>-0.80000000000000104</v>
      </c>
      <c r="B8" s="7">
        <f t="shared" si="1"/>
        <v>0.58651513194460658</v>
      </c>
      <c r="C8" s="7">
        <f t="shared" si="2"/>
        <v>-0.58651513194460658</v>
      </c>
      <c r="D8" s="7">
        <f t="shared" si="0"/>
        <v>0.77777777777777835</v>
      </c>
    </row>
    <row r="9" spans="1:26" x14ac:dyDescent="0.3">
      <c r="A9" s="6">
        <v>-0.70000000000000095</v>
      </c>
      <c r="B9" s="6">
        <f t="shared" si="1"/>
        <v>0.63560994328282772</v>
      </c>
      <c r="C9" s="6">
        <f t="shared" si="2"/>
        <v>-0.63560994328282772</v>
      </c>
      <c r="D9" s="6">
        <f t="shared" si="0"/>
        <v>0.72222222222222276</v>
      </c>
      <c r="L9" s="55" t="s">
        <v>45</v>
      </c>
      <c r="M9" s="55"/>
      <c r="N9" s="55"/>
      <c r="O9" s="55"/>
      <c r="P9" s="55"/>
    </row>
    <row r="10" spans="1:26" x14ac:dyDescent="0.3">
      <c r="A10" s="24">
        <v>-0.60000000000000098</v>
      </c>
      <c r="B10" s="24">
        <f t="shared" si="1"/>
        <v>0.67527772064536495</v>
      </c>
      <c r="C10" s="24">
        <f t="shared" si="2"/>
        <v>-0.67527772064536495</v>
      </c>
      <c r="D10" s="24">
        <f t="shared" si="0"/>
        <v>0.6666666666666673</v>
      </c>
      <c r="L10" s="31" t="s">
        <v>40</v>
      </c>
      <c r="M10" s="31" t="s">
        <v>41</v>
      </c>
      <c r="N10" s="32"/>
      <c r="O10" s="31" t="s">
        <v>40</v>
      </c>
      <c r="P10" s="31" t="s">
        <v>41</v>
      </c>
    </row>
    <row r="11" spans="1:26" x14ac:dyDescent="0.3">
      <c r="A11" s="6">
        <v>-0.500000000000001</v>
      </c>
      <c r="B11" s="6">
        <f t="shared" si="1"/>
        <v>0.70710678118654724</v>
      </c>
      <c r="C11" s="6">
        <f t="shared" si="2"/>
        <v>-0.70710678118654724</v>
      </c>
      <c r="D11" s="6">
        <f t="shared" si="0"/>
        <v>0.61111111111111172</v>
      </c>
      <c r="L11" s="42">
        <f>2*L4^2+5*M4^2 - 3</f>
        <v>1.3821422739646039E-5</v>
      </c>
      <c r="M11" s="42">
        <f>5*L4+9*M4-3</f>
        <v>-1.0261626405494439E-5</v>
      </c>
      <c r="N11" s="1"/>
      <c r="O11" s="42">
        <f>2*O4^2+5*P4^2 - 3</f>
        <v>-1.253978979942616E-5</v>
      </c>
      <c r="P11" s="42">
        <f>5*O4+9*P4-3</f>
        <v>1.4243941595237786E-4</v>
      </c>
    </row>
    <row r="12" spans="1:26" x14ac:dyDescent="0.3">
      <c r="A12" s="6">
        <v>-0.40000000000000102</v>
      </c>
      <c r="B12" s="6">
        <f t="shared" si="1"/>
        <v>0.73212020870892491</v>
      </c>
      <c r="C12" s="6">
        <f t="shared" si="2"/>
        <v>-0.73212020870892491</v>
      </c>
      <c r="D12" s="6">
        <f t="shared" si="0"/>
        <v>0.55555555555555614</v>
      </c>
    </row>
    <row r="13" spans="1:26" x14ac:dyDescent="0.3">
      <c r="A13" s="6">
        <v>-0.30000000000000099</v>
      </c>
      <c r="B13" s="6">
        <f t="shared" si="1"/>
        <v>0.75099933422074339</v>
      </c>
      <c r="C13" s="6">
        <f t="shared" si="2"/>
        <v>-0.75099933422074339</v>
      </c>
      <c r="D13" s="6">
        <f t="shared" si="0"/>
        <v>0.50000000000000056</v>
      </c>
    </row>
    <row r="14" spans="1:26" x14ac:dyDescent="0.3">
      <c r="A14" s="6">
        <v>-0.20000000000000101</v>
      </c>
      <c r="B14" s="6">
        <f t="shared" si="1"/>
        <v>0.76419892698171188</v>
      </c>
      <c r="C14" s="6">
        <f t="shared" si="2"/>
        <v>-0.76419892698171188</v>
      </c>
      <c r="D14" s="6">
        <f t="shared" si="0"/>
        <v>0.44444444444444503</v>
      </c>
      <c r="E14" t="s">
        <v>46</v>
      </c>
      <c r="F14" t="s">
        <v>47</v>
      </c>
    </row>
    <row r="15" spans="1:26" x14ac:dyDescent="0.3">
      <c r="A15" s="6">
        <v>-9.9999999999999895E-2</v>
      </c>
      <c r="B15" s="6">
        <f t="shared" si="1"/>
        <v>0.77201036262475131</v>
      </c>
      <c r="C15" s="6">
        <f t="shared" si="2"/>
        <v>-0.77201036262475131</v>
      </c>
      <c r="D15" s="33">
        <f t="shared" si="0"/>
        <v>0.38888888888888884</v>
      </c>
      <c r="E15" s="6"/>
      <c r="F15" s="36">
        <v>-2</v>
      </c>
      <c r="G15" s="36">
        <v>-1.8</v>
      </c>
      <c r="H15" s="36">
        <v>-1.6</v>
      </c>
      <c r="I15" s="36">
        <v>-1.4</v>
      </c>
      <c r="J15" s="36">
        <v>-1.2</v>
      </c>
      <c r="K15" s="36">
        <v>-1</v>
      </c>
      <c r="L15" s="36">
        <v>-0.8</v>
      </c>
      <c r="M15" s="36">
        <v>-0.6</v>
      </c>
      <c r="N15" s="36">
        <v>-0.4</v>
      </c>
      <c r="O15" s="36">
        <v>-0.2</v>
      </c>
      <c r="P15" s="36">
        <v>0</v>
      </c>
      <c r="Q15" s="36">
        <v>0.2</v>
      </c>
      <c r="R15" s="36">
        <v>0.4</v>
      </c>
      <c r="S15" s="36">
        <v>0.6</v>
      </c>
      <c r="T15" s="36">
        <v>0.8</v>
      </c>
      <c r="U15" s="36">
        <v>1</v>
      </c>
      <c r="V15" s="36">
        <v>1.2</v>
      </c>
      <c r="W15" s="36">
        <v>1.4</v>
      </c>
      <c r="X15" s="36">
        <v>1.6</v>
      </c>
      <c r="Y15" s="36">
        <v>1.8</v>
      </c>
      <c r="Z15" s="36">
        <v>2</v>
      </c>
    </row>
    <row r="16" spans="1:26" x14ac:dyDescent="0.3">
      <c r="A16" s="6">
        <v>0</v>
      </c>
      <c r="B16" s="6">
        <f t="shared" si="1"/>
        <v>0.7745966692414834</v>
      </c>
      <c r="C16" s="6">
        <f t="shared" si="2"/>
        <v>-0.7745966692414834</v>
      </c>
      <c r="D16" s="33">
        <f t="shared" si="0"/>
        <v>0.33333333333333331</v>
      </c>
      <c r="E16" s="35">
        <v>-2</v>
      </c>
      <c r="F16" s="6">
        <f t="shared" ref="F16:O25" si="3">(2*F$15^2+5*$E16^2 - 3)^2+(5*F$15+9*$E16-3)^2</f>
        <v>1586</v>
      </c>
      <c r="G16" s="6">
        <f t="shared" si="3"/>
        <v>1451.3104000000001</v>
      </c>
      <c r="H16" s="6">
        <f t="shared" si="3"/>
        <v>1330.2944</v>
      </c>
      <c r="I16" s="6">
        <f t="shared" si="3"/>
        <v>1221.6463999999999</v>
      </c>
      <c r="J16" s="6">
        <f t="shared" si="3"/>
        <v>1124.2143999999998</v>
      </c>
      <c r="K16" s="6">
        <f t="shared" si="3"/>
        <v>1037</v>
      </c>
      <c r="L16" s="6">
        <f t="shared" si="3"/>
        <v>959.15840000000003</v>
      </c>
      <c r="M16" s="6">
        <f t="shared" si="3"/>
        <v>889.99839999999995</v>
      </c>
      <c r="N16" s="6">
        <f t="shared" si="3"/>
        <v>828.98239999999998</v>
      </c>
      <c r="O16" s="6">
        <f t="shared" si="3"/>
        <v>775.72640000000001</v>
      </c>
      <c r="P16" s="6">
        <f t="shared" ref="P16:Z25" si="4">(2*P$15^2+5*$E16^2 - 3)^2+(5*P$15+9*$E16-3)^2</f>
        <v>730</v>
      </c>
      <c r="Q16" s="6">
        <f t="shared" si="4"/>
        <v>691.72640000000001</v>
      </c>
      <c r="R16" s="6">
        <f t="shared" si="4"/>
        <v>660.98239999999998</v>
      </c>
      <c r="S16" s="6">
        <f t="shared" si="4"/>
        <v>637.99839999999995</v>
      </c>
      <c r="T16" s="6">
        <f t="shared" si="4"/>
        <v>623.15840000000003</v>
      </c>
      <c r="U16" s="6">
        <f t="shared" si="4"/>
        <v>617</v>
      </c>
      <c r="V16" s="6">
        <f t="shared" si="4"/>
        <v>620.21439999999996</v>
      </c>
      <c r="W16" s="6">
        <f t="shared" si="4"/>
        <v>633.64639999999986</v>
      </c>
      <c r="X16" s="6">
        <f t="shared" si="4"/>
        <v>658.2944</v>
      </c>
      <c r="Y16" s="6">
        <f t="shared" si="4"/>
        <v>695.31040000000007</v>
      </c>
      <c r="Z16" s="6">
        <f t="shared" si="4"/>
        <v>746</v>
      </c>
    </row>
    <row r="17" spans="1:26" x14ac:dyDescent="0.3">
      <c r="A17" s="6">
        <v>0.1</v>
      </c>
      <c r="B17" s="6">
        <f t="shared" si="1"/>
        <v>0.77201036262475131</v>
      </c>
      <c r="C17" s="6">
        <f t="shared" si="2"/>
        <v>-0.77201036262475131</v>
      </c>
      <c r="D17" s="33">
        <f t="shared" si="0"/>
        <v>0.27777777777777779</v>
      </c>
      <c r="E17" s="35">
        <v>-1.8</v>
      </c>
      <c r="F17" s="6">
        <f t="shared" si="3"/>
        <v>1302.0800000000002</v>
      </c>
      <c r="G17" s="6">
        <f t="shared" si="3"/>
        <v>1182.5424000000003</v>
      </c>
      <c r="H17" s="6">
        <f t="shared" si="3"/>
        <v>1075.4624000000001</v>
      </c>
      <c r="I17" s="6">
        <f t="shared" si="3"/>
        <v>979.53440000000001</v>
      </c>
      <c r="J17" s="6">
        <f t="shared" si="3"/>
        <v>893.60640000000001</v>
      </c>
      <c r="K17" s="6">
        <f t="shared" si="3"/>
        <v>816.68000000000006</v>
      </c>
      <c r="L17" s="6">
        <f t="shared" si="3"/>
        <v>747.9104000000001</v>
      </c>
      <c r="M17" s="6">
        <f t="shared" si="3"/>
        <v>686.60640000000001</v>
      </c>
      <c r="N17" s="6">
        <f t="shared" si="3"/>
        <v>632.23040000000015</v>
      </c>
      <c r="O17" s="6">
        <f t="shared" si="3"/>
        <v>584.39840000000004</v>
      </c>
      <c r="P17" s="6">
        <f t="shared" si="4"/>
        <v>542.88000000000011</v>
      </c>
      <c r="Q17" s="6">
        <f t="shared" si="4"/>
        <v>507.59839999999997</v>
      </c>
      <c r="R17" s="6">
        <f t="shared" si="4"/>
        <v>478.63040000000007</v>
      </c>
      <c r="S17" s="6">
        <f t="shared" si="4"/>
        <v>456.20640000000003</v>
      </c>
      <c r="T17" s="6">
        <f t="shared" si="4"/>
        <v>440.71040000000011</v>
      </c>
      <c r="U17" s="6">
        <f t="shared" si="4"/>
        <v>432.68000000000006</v>
      </c>
      <c r="V17" s="6">
        <f t="shared" si="4"/>
        <v>432.80640000000005</v>
      </c>
      <c r="W17" s="6">
        <f t="shared" si="4"/>
        <v>441.93439999999998</v>
      </c>
      <c r="X17" s="6">
        <f t="shared" si="4"/>
        <v>461.06240000000014</v>
      </c>
      <c r="Y17" s="6">
        <f t="shared" si="4"/>
        <v>491.34240000000011</v>
      </c>
      <c r="Z17" s="6">
        <f t="shared" si="4"/>
        <v>534.08000000000015</v>
      </c>
    </row>
    <row r="18" spans="1:26" x14ac:dyDescent="0.3">
      <c r="A18" s="6">
        <v>0.2</v>
      </c>
      <c r="B18" s="6">
        <f t="shared" si="1"/>
        <v>0.76419892698171199</v>
      </c>
      <c r="C18" s="6">
        <f t="shared" si="2"/>
        <v>-0.76419892698171199</v>
      </c>
      <c r="D18" s="33">
        <f t="shared" si="0"/>
        <v>0.22222222222222221</v>
      </c>
      <c r="E18" s="35">
        <v>-1.6</v>
      </c>
      <c r="F18" s="6">
        <f t="shared" si="3"/>
        <v>1067.5999999999999</v>
      </c>
      <c r="G18" s="6">
        <f t="shared" si="3"/>
        <v>961.99839999999995</v>
      </c>
      <c r="H18" s="6">
        <f t="shared" si="3"/>
        <v>867.76639999999998</v>
      </c>
      <c r="I18" s="6">
        <f t="shared" si="3"/>
        <v>783.59839999999997</v>
      </c>
      <c r="J18" s="6">
        <f t="shared" si="3"/>
        <v>708.3424</v>
      </c>
      <c r="K18" s="6">
        <f t="shared" si="3"/>
        <v>641</v>
      </c>
      <c r="L18" s="6">
        <f t="shared" si="3"/>
        <v>580.72640000000001</v>
      </c>
      <c r="M18" s="6">
        <f t="shared" si="3"/>
        <v>526.83040000000005</v>
      </c>
      <c r="N18" s="6">
        <f t="shared" si="3"/>
        <v>478.77440000000001</v>
      </c>
      <c r="O18" s="6">
        <f t="shared" si="3"/>
        <v>436.17439999999999</v>
      </c>
      <c r="P18" s="6">
        <f t="shared" si="4"/>
        <v>398.79999999999995</v>
      </c>
      <c r="Q18" s="6">
        <f t="shared" si="4"/>
        <v>366.57440000000003</v>
      </c>
      <c r="R18" s="6">
        <f t="shared" si="4"/>
        <v>339.57440000000008</v>
      </c>
      <c r="S18" s="6">
        <f t="shared" si="4"/>
        <v>318.0304000000001</v>
      </c>
      <c r="T18" s="6">
        <f t="shared" si="4"/>
        <v>302.32640000000004</v>
      </c>
      <c r="U18" s="6">
        <f t="shared" si="4"/>
        <v>293.00000000000011</v>
      </c>
      <c r="V18" s="6">
        <f t="shared" si="4"/>
        <v>290.74240000000009</v>
      </c>
      <c r="W18" s="6">
        <f t="shared" si="4"/>
        <v>296.39840000000009</v>
      </c>
      <c r="X18" s="6">
        <f t="shared" si="4"/>
        <v>310.96640000000008</v>
      </c>
      <c r="Y18" s="6">
        <f t="shared" si="4"/>
        <v>335.59840000000003</v>
      </c>
      <c r="Z18" s="6">
        <f t="shared" si="4"/>
        <v>371.60000000000014</v>
      </c>
    </row>
    <row r="19" spans="1:26" x14ac:dyDescent="0.3">
      <c r="A19" s="6">
        <v>0.3</v>
      </c>
      <c r="B19" s="6">
        <f t="shared" si="1"/>
        <v>0.7509993342207435</v>
      </c>
      <c r="C19" s="6">
        <f t="shared" si="2"/>
        <v>-0.7509993342207435</v>
      </c>
      <c r="D19" s="33">
        <f t="shared" si="0"/>
        <v>0.16666666666666666</v>
      </c>
      <c r="E19" s="35">
        <v>-1.4</v>
      </c>
      <c r="F19" s="6">
        <f t="shared" si="3"/>
        <v>874.40000000000009</v>
      </c>
      <c r="G19" s="6">
        <f t="shared" si="3"/>
        <v>781.51840000000016</v>
      </c>
      <c r="H19" s="6">
        <f t="shared" si="3"/>
        <v>699.04640000000006</v>
      </c>
      <c r="I19" s="6">
        <f t="shared" si="3"/>
        <v>625.67840000000001</v>
      </c>
      <c r="J19" s="6">
        <f t="shared" si="3"/>
        <v>560.26240000000007</v>
      </c>
      <c r="K19" s="6">
        <f t="shared" si="3"/>
        <v>501.80000000000007</v>
      </c>
      <c r="L19" s="6">
        <f t="shared" si="3"/>
        <v>449.44640000000004</v>
      </c>
      <c r="M19" s="6">
        <f t="shared" si="3"/>
        <v>402.5104</v>
      </c>
      <c r="N19" s="6">
        <f t="shared" si="3"/>
        <v>360.45440000000002</v>
      </c>
      <c r="O19" s="6">
        <f t="shared" si="3"/>
        <v>322.89440000000002</v>
      </c>
      <c r="P19" s="6">
        <f t="shared" si="4"/>
        <v>289.59999999999997</v>
      </c>
      <c r="Q19" s="6">
        <f t="shared" si="4"/>
        <v>260.49439999999998</v>
      </c>
      <c r="R19" s="6">
        <f t="shared" si="4"/>
        <v>235.65439999999995</v>
      </c>
      <c r="S19" s="6">
        <f t="shared" si="4"/>
        <v>215.31039999999999</v>
      </c>
      <c r="T19" s="6">
        <f t="shared" si="4"/>
        <v>199.84639999999996</v>
      </c>
      <c r="U19" s="6">
        <f t="shared" si="4"/>
        <v>189.79999999999998</v>
      </c>
      <c r="V19" s="6">
        <f t="shared" si="4"/>
        <v>185.86239999999998</v>
      </c>
      <c r="W19" s="6">
        <f t="shared" si="4"/>
        <v>188.87839999999997</v>
      </c>
      <c r="X19" s="6">
        <f t="shared" si="4"/>
        <v>199.84639999999999</v>
      </c>
      <c r="Y19" s="6">
        <f t="shared" si="4"/>
        <v>219.91840000000002</v>
      </c>
      <c r="Z19" s="6">
        <f t="shared" si="4"/>
        <v>250.39999999999989</v>
      </c>
    </row>
    <row r="20" spans="1:26" x14ac:dyDescent="0.3">
      <c r="A20" s="6">
        <v>0.4</v>
      </c>
      <c r="B20" s="6">
        <f t="shared" si="1"/>
        <v>0.73212020870892502</v>
      </c>
      <c r="C20" s="6">
        <f t="shared" si="2"/>
        <v>-0.73212020870892502</v>
      </c>
      <c r="D20" s="33">
        <f t="shared" si="0"/>
        <v>0.1111111111111111</v>
      </c>
      <c r="E20" s="35">
        <v>-1.2</v>
      </c>
      <c r="F20" s="6">
        <f t="shared" si="3"/>
        <v>715.27999999999975</v>
      </c>
      <c r="G20" s="6">
        <f t="shared" si="3"/>
        <v>633.90239999999994</v>
      </c>
      <c r="H20" s="6">
        <f t="shared" si="3"/>
        <v>562.10239999999988</v>
      </c>
      <c r="I20" s="6">
        <f t="shared" si="3"/>
        <v>498.57439999999986</v>
      </c>
      <c r="J20" s="6">
        <f t="shared" si="3"/>
        <v>442.1663999999999</v>
      </c>
      <c r="K20" s="6">
        <f t="shared" si="3"/>
        <v>391.87999999999988</v>
      </c>
      <c r="L20" s="6">
        <f t="shared" si="3"/>
        <v>346.8703999999999</v>
      </c>
      <c r="M20" s="6">
        <f t="shared" si="3"/>
        <v>306.44639999999987</v>
      </c>
      <c r="N20" s="6">
        <f t="shared" si="3"/>
        <v>270.07039999999995</v>
      </c>
      <c r="O20" s="6">
        <f t="shared" si="3"/>
        <v>237.35839999999996</v>
      </c>
      <c r="P20" s="6">
        <f t="shared" si="4"/>
        <v>208.07999999999996</v>
      </c>
      <c r="Q20" s="6">
        <f t="shared" si="4"/>
        <v>182.15839999999997</v>
      </c>
      <c r="R20" s="6">
        <f t="shared" si="4"/>
        <v>159.67039999999997</v>
      </c>
      <c r="S20" s="6">
        <f t="shared" si="4"/>
        <v>140.84639999999996</v>
      </c>
      <c r="T20" s="6">
        <f t="shared" si="4"/>
        <v>126.07039999999998</v>
      </c>
      <c r="U20" s="6">
        <f t="shared" si="4"/>
        <v>115.87999999999997</v>
      </c>
      <c r="V20" s="6">
        <f t="shared" si="4"/>
        <v>110.96639999999996</v>
      </c>
      <c r="W20" s="6">
        <f t="shared" si="4"/>
        <v>112.17439999999996</v>
      </c>
      <c r="X20" s="6">
        <f t="shared" si="4"/>
        <v>120.50239999999999</v>
      </c>
      <c r="Y20" s="6">
        <f t="shared" si="4"/>
        <v>137.10239999999999</v>
      </c>
      <c r="Z20" s="6">
        <f t="shared" si="4"/>
        <v>163.27999999999997</v>
      </c>
    </row>
    <row r="21" spans="1:26" x14ac:dyDescent="0.3">
      <c r="A21" s="6">
        <v>0.5</v>
      </c>
      <c r="B21" s="6">
        <f t="shared" si="1"/>
        <v>0.70710678118654757</v>
      </c>
      <c r="C21" s="6">
        <f t="shared" si="2"/>
        <v>-0.70710678118654757</v>
      </c>
      <c r="D21" s="33">
        <f t="shared" si="0"/>
        <v>5.5555555555555552E-2</v>
      </c>
      <c r="E21" s="35">
        <v>-1</v>
      </c>
      <c r="F21" s="6">
        <f t="shared" si="3"/>
        <v>584</v>
      </c>
      <c r="G21" s="6">
        <f t="shared" si="3"/>
        <v>512.91039999999998</v>
      </c>
      <c r="H21" s="6">
        <f t="shared" si="3"/>
        <v>450.69440000000003</v>
      </c>
      <c r="I21" s="6">
        <f t="shared" si="3"/>
        <v>396.04640000000001</v>
      </c>
      <c r="J21" s="6">
        <f t="shared" si="3"/>
        <v>347.81439999999998</v>
      </c>
      <c r="K21" s="6">
        <f t="shared" si="3"/>
        <v>305</v>
      </c>
      <c r="L21" s="6">
        <f t="shared" si="3"/>
        <v>266.75839999999999</v>
      </c>
      <c r="M21" s="6">
        <f t="shared" si="3"/>
        <v>232.39840000000001</v>
      </c>
      <c r="N21" s="6">
        <f t="shared" si="3"/>
        <v>201.38239999999999</v>
      </c>
      <c r="O21" s="6">
        <f t="shared" si="3"/>
        <v>173.32640000000001</v>
      </c>
      <c r="P21" s="6">
        <f t="shared" si="4"/>
        <v>148</v>
      </c>
      <c r="Q21" s="6">
        <f t="shared" si="4"/>
        <v>125.32640000000001</v>
      </c>
      <c r="R21" s="6">
        <f t="shared" si="4"/>
        <v>105.3824</v>
      </c>
      <c r="S21" s="6">
        <f t="shared" si="4"/>
        <v>88.398399999999995</v>
      </c>
      <c r="T21" s="6">
        <f t="shared" si="4"/>
        <v>74.758399999999995</v>
      </c>
      <c r="U21" s="6">
        <f t="shared" si="4"/>
        <v>65</v>
      </c>
      <c r="V21" s="6">
        <f t="shared" si="4"/>
        <v>59.814399999999999</v>
      </c>
      <c r="W21" s="6">
        <f t="shared" si="4"/>
        <v>60.046399999999998</v>
      </c>
      <c r="X21" s="6">
        <f t="shared" si="4"/>
        <v>66.694400000000016</v>
      </c>
      <c r="Y21" s="6">
        <f t="shared" si="4"/>
        <v>80.91040000000001</v>
      </c>
      <c r="Z21" s="6">
        <f t="shared" si="4"/>
        <v>104</v>
      </c>
    </row>
    <row r="22" spans="1:26" x14ac:dyDescent="0.3">
      <c r="A22" s="6">
        <v>0.6</v>
      </c>
      <c r="B22" s="6">
        <f t="shared" si="1"/>
        <v>0.67527772064536529</v>
      </c>
      <c r="C22" s="6">
        <f t="shared" si="2"/>
        <v>-0.67527772064536529</v>
      </c>
      <c r="D22" s="33">
        <f t="shared" si="0"/>
        <v>0</v>
      </c>
      <c r="E22" s="35">
        <v>-0.8</v>
      </c>
      <c r="F22" s="6">
        <f t="shared" si="3"/>
        <v>475.28</v>
      </c>
      <c r="G22" s="6">
        <f t="shared" si="3"/>
        <v>413.26240000000001</v>
      </c>
      <c r="H22" s="6">
        <f t="shared" si="3"/>
        <v>359.54239999999999</v>
      </c>
      <c r="I22" s="6">
        <f t="shared" si="3"/>
        <v>312.81439999999998</v>
      </c>
      <c r="J22" s="6">
        <f t="shared" si="3"/>
        <v>271.9264</v>
      </c>
      <c r="K22" s="6">
        <f t="shared" si="3"/>
        <v>235.88</v>
      </c>
      <c r="L22" s="6">
        <f t="shared" si="3"/>
        <v>203.8304</v>
      </c>
      <c r="M22" s="6">
        <f t="shared" si="3"/>
        <v>175.08639999999997</v>
      </c>
      <c r="N22" s="6">
        <f t="shared" si="3"/>
        <v>149.11039999999997</v>
      </c>
      <c r="O22" s="6">
        <f t="shared" si="3"/>
        <v>125.51839999999999</v>
      </c>
      <c r="P22" s="6">
        <f t="shared" si="4"/>
        <v>104.08</v>
      </c>
      <c r="Q22" s="6">
        <f t="shared" si="4"/>
        <v>84.718399999999988</v>
      </c>
      <c r="R22" s="6">
        <f t="shared" si="4"/>
        <v>67.51039999999999</v>
      </c>
      <c r="S22" s="6">
        <f t="shared" si="4"/>
        <v>52.686400000000006</v>
      </c>
      <c r="T22" s="6">
        <f t="shared" si="4"/>
        <v>40.630400000000009</v>
      </c>
      <c r="U22" s="6">
        <f t="shared" si="4"/>
        <v>31.880000000000006</v>
      </c>
      <c r="V22" s="6">
        <f t="shared" si="4"/>
        <v>27.1264</v>
      </c>
      <c r="W22" s="6">
        <f t="shared" si="4"/>
        <v>27.214400000000001</v>
      </c>
      <c r="X22" s="6">
        <f t="shared" si="4"/>
        <v>33.142400000000023</v>
      </c>
      <c r="Y22" s="6">
        <f t="shared" si="4"/>
        <v>46.062400000000018</v>
      </c>
      <c r="Z22" s="6">
        <f t="shared" si="4"/>
        <v>67.28000000000003</v>
      </c>
    </row>
    <row r="23" spans="1:26" x14ac:dyDescent="0.3">
      <c r="A23" s="6">
        <v>0.7</v>
      </c>
      <c r="B23" s="6">
        <f t="shared" si="1"/>
        <v>0.63560994328282816</v>
      </c>
      <c r="C23" s="6">
        <f t="shared" si="2"/>
        <v>-0.63560994328282816</v>
      </c>
      <c r="D23" s="33">
        <f t="shared" si="0"/>
        <v>-5.5555555555555552E-2</v>
      </c>
      <c r="E23" s="35">
        <v>-0.6</v>
      </c>
      <c r="F23" s="6">
        <f t="shared" si="3"/>
        <v>384.79999999999995</v>
      </c>
      <c r="G23" s="6">
        <f t="shared" si="3"/>
        <v>330.63839999999993</v>
      </c>
      <c r="H23" s="6">
        <f t="shared" si="3"/>
        <v>284.32639999999998</v>
      </c>
      <c r="I23" s="6">
        <f t="shared" si="3"/>
        <v>244.55839999999995</v>
      </c>
      <c r="J23" s="6">
        <f t="shared" si="3"/>
        <v>210.18239999999994</v>
      </c>
      <c r="K23" s="6">
        <f t="shared" si="3"/>
        <v>180.19999999999996</v>
      </c>
      <c r="L23" s="6">
        <f t="shared" si="3"/>
        <v>153.76639999999998</v>
      </c>
      <c r="M23" s="6">
        <f t="shared" si="3"/>
        <v>130.19039999999998</v>
      </c>
      <c r="N23" s="6">
        <f t="shared" si="3"/>
        <v>108.93439999999997</v>
      </c>
      <c r="O23" s="6">
        <f t="shared" si="3"/>
        <v>89.614399999999975</v>
      </c>
      <c r="P23" s="6">
        <f t="shared" si="4"/>
        <v>71.999999999999972</v>
      </c>
      <c r="Q23" s="6">
        <f t="shared" si="4"/>
        <v>56.014399999999988</v>
      </c>
      <c r="R23" s="6">
        <f t="shared" si="4"/>
        <v>41.734399999999994</v>
      </c>
      <c r="S23" s="6">
        <f t="shared" si="4"/>
        <v>29.390399999999993</v>
      </c>
      <c r="T23" s="6">
        <f t="shared" si="4"/>
        <v>19.366399999999995</v>
      </c>
      <c r="U23" s="6">
        <f t="shared" si="4"/>
        <v>12.199999999999996</v>
      </c>
      <c r="V23" s="6">
        <f t="shared" si="4"/>
        <v>8.5823999999999963</v>
      </c>
      <c r="W23" s="6">
        <f t="shared" si="4"/>
        <v>9.3583999999999925</v>
      </c>
      <c r="X23" s="6">
        <f t="shared" si="4"/>
        <v>15.526400000000006</v>
      </c>
      <c r="Y23" s="6">
        <f t="shared" si="4"/>
        <v>28.238400000000013</v>
      </c>
      <c r="Z23" s="6">
        <f t="shared" si="4"/>
        <v>48.800000000000011</v>
      </c>
    </row>
    <row r="24" spans="1:26" x14ac:dyDescent="0.3">
      <c r="A24" s="6">
        <v>0.8</v>
      </c>
      <c r="B24" s="6">
        <f t="shared" si="1"/>
        <v>0.58651513194460714</v>
      </c>
      <c r="C24" s="6">
        <f t="shared" si="2"/>
        <v>-0.58651513194460714</v>
      </c>
      <c r="D24" s="33">
        <f t="shared" si="0"/>
        <v>-0.1111111111111111</v>
      </c>
      <c r="E24" s="35">
        <v>-0.4</v>
      </c>
      <c r="F24" s="6">
        <f t="shared" si="3"/>
        <v>309.20000000000005</v>
      </c>
      <c r="G24" s="6">
        <f t="shared" si="3"/>
        <v>261.67840000000001</v>
      </c>
      <c r="H24" s="6">
        <f t="shared" si="3"/>
        <v>221.68639999999999</v>
      </c>
      <c r="I24" s="6">
        <f t="shared" si="3"/>
        <v>187.91839999999999</v>
      </c>
      <c r="J24" s="6">
        <f t="shared" si="3"/>
        <v>159.22239999999999</v>
      </c>
      <c r="K24" s="6">
        <f t="shared" si="3"/>
        <v>134.6</v>
      </c>
      <c r="L24" s="6">
        <f t="shared" si="3"/>
        <v>113.2064</v>
      </c>
      <c r="M24" s="6">
        <f t="shared" si="3"/>
        <v>94.350399999999993</v>
      </c>
      <c r="N24" s="6">
        <f t="shared" si="3"/>
        <v>77.494399999999999</v>
      </c>
      <c r="O24" s="6">
        <f t="shared" si="3"/>
        <v>62.254399999999997</v>
      </c>
      <c r="P24" s="6">
        <f t="shared" si="4"/>
        <v>48.399999999999991</v>
      </c>
      <c r="Q24" s="6">
        <f t="shared" si="4"/>
        <v>35.854399999999998</v>
      </c>
      <c r="R24" s="6">
        <f t="shared" si="4"/>
        <v>24.694399999999995</v>
      </c>
      <c r="S24" s="6">
        <f t="shared" si="4"/>
        <v>15.150400000000001</v>
      </c>
      <c r="T24" s="6">
        <f t="shared" si="4"/>
        <v>7.6063999999999998</v>
      </c>
      <c r="U24" s="6">
        <f t="shared" si="4"/>
        <v>2.6000000000000005</v>
      </c>
      <c r="V24" s="6">
        <f t="shared" si="4"/>
        <v>0.82240000000000024</v>
      </c>
      <c r="W24" s="6">
        <f t="shared" si="4"/>
        <v>3.1183999999999994</v>
      </c>
      <c r="X24" s="6">
        <f t="shared" si="4"/>
        <v>10.486400000000005</v>
      </c>
      <c r="Y24" s="6">
        <f t="shared" si="4"/>
        <v>24.078400000000002</v>
      </c>
      <c r="Z24" s="6">
        <f t="shared" si="4"/>
        <v>45.20000000000001</v>
      </c>
    </row>
    <row r="25" spans="1:26" x14ac:dyDescent="0.3">
      <c r="A25" s="6">
        <v>0.9</v>
      </c>
      <c r="B25" s="6">
        <f>((3-2*A25^2)/5)^0.5</f>
        <v>0.52535702146254781</v>
      </c>
      <c r="C25" s="6">
        <f>-SQRT((3-2*A25^2)/5)</f>
        <v>-0.52535702146254781</v>
      </c>
      <c r="D25" s="33">
        <f t="shared" ref="D25:D28" si="5">(3-5*A25)/9</f>
        <v>-0.16666666666666666</v>
      </c>
      <c r="E25" s="35">
        <v>-0.2</v>
      </c>
      <c r="F25" s="6">
        <f t="shared" si="3"/>
        <v>246.08</v>
      </c>
      <c r="G25" s="6">
        <f t="shared" si="3"/>
        <v>203.98240000000004</v>
      </c>
      <c r="H25" s="6">
        <f t="shared" si="3"/>
        <v>169.22240000000005</v>
      </c>
      <c r="I25" s="6">
        <f t="shared" si="3"/>
        <v>140.49440000000001</v>
      </c>
      <c r="J25" s="6">
        <f t="shared" si="3"/>
        <v>116.64640000000001</v>
      </c>
      <c r="K25" s="6">
        <f t="shared" si="3"/>
        <v>96.680000000000021</v>
      </c>
      <c r="L25" s="6">
        <f t="shared" si="3"/>
        <v>79.750400000000013</v>
      </c>
      <c r="M25" s="6">
        <f t="shared" si="3"/>
        <v>65.166399999999996</v>
      </c>
      <c r="N25" s="6">
        <f t="shared" si="3"/>
        <v>52.390399999999993</v>
      </c>
      <c r="O25" s="6">
        <f t="shared" si="3"/>
        <v>41.038399999999996</v>
      </c>
      <c r="P25" s="6">
        <f t="shared" si="4"/>
        <v>30.88</v>
      </c>
      <c r="Q25" s="6">
        <f t="shared" si="4"/>
        <v>21.8384</v>
      </c>
      <c r="R25" s="6">
        <f t="shared" si="4"/>
        <v>13.990399999999999</v>
      </c>
      <c r="S25" s="6">
        <f t="shared" si="4"/>
        <v>7.5664000000000007</v>
      </c>
      <c r="T25" s="6">
        <f t="shared" si="4"/>
        <v>2.9503999999999992</v>
      </c>
      <c r="U25" s="19">
        <f t="shared" si="4"/>
        <v>0.67999999999999972</v>
      </c>
      <c r="V25" s="6">
        <f t="shared" si="4"/>
        <v>1.4464000000000004</v>
      </c>
      <c r="W25" s="6">
        <f t="shared" si="4"/>
        <v>6.0943999999999985</v>
      </c>
      <c r="X25" s="6">
        <f t="shared" si="4"/>
        <v>15.622400000000008</v>
      </c>
      <c r="Y25" s="6">
        <f t="shared" si="4"/>
        <v>31.182400000000005</v>
      </c>
      <c r="Z25" s="6">
        <f t="shared" si="4"/>
        <v>54.079999999999984</v>
      </c>
    </row>
    <row r="26" spans="1:26" x14ac:dyDescent="0.3">
      <c r="A26" s="6">
        <v>1</v>
      </c>
      <c r="B26" s="6">
        <f t="shared" ref="B26:B28" si="6">SQRT((3-2*A26^2)/5)</f>
        <v>0.44721359549995793</v>
      </c>
      <c r="C26" s="6">
        <f t="shared" ref="C26:C28" si="7">-SQRT((3-2*A26^2)/5)</f>
        <v>-0.44721359549995793</v>
      </c>
      <c r="D26" s="33">
        <f t="shared" si="5"/>
        <v>-0.22222222222222221</v>
      </c>
      <c r="E26" s="35">
        <v>0</v>
      </c>
      <c r="F26" s="6">
        <f t="shared" ref="F26:O35" si="8">(2*F$15^2+5*$E26^2 - 3)^2+(5*F$15+9*$E26-3)^2</f>
        <v>194</v>
      </c>
      <c r="G26" s="6">
        <f t="shared" si="8"/>
        <v>156.1104</v>
      </c>
      <c r="H26" s="6">
        <f t="shared" si="8"/>
        <v>125.4944</v>
      </c>
      <c r="I26" s="6">
        <f t="shared" si="8"/>
        <v>100.8464</v>
      </c>
      <c r="J26" s="6">
        <f t="shared" si="8"/>
        <v>81.014399999999995</v>
      </c>
      <c r="K26" s="6">
        <f t="shared" si="8"/>
        <v>65</v>
      </c>
      <c r="L26" s="6">
        <f t="shared" si="8"/>
        <v>51.958399999999997</v>
      </c>
      <c r="M26" s="6">
        <f t="shared" si="8"/>
        <v>41.198399999999999</v>
      </c>
      <c r="N26" s="6">
        <f t="shared" si="8"/>
        <v>32.182400000000001</v>
      </c>
      <c r="O26" s="6">
        <f t="shared" si="8"/>
        <v>24.526399999999999</v>
      </c>
      <c r="P26" s="6">
        <f t="shared" ref="P26:Z35" si="9">(2*P$15^2+5*$E26^2 - 3)^2+(5*P$15+9*$E26-3)^2</f>
        <v>18</v>
      </c>
      <c r="Q26" s="6">
        <f t="shared" si="9"/>
        <v>12.526399999999999</v>
      </c>
      <c r="R26" s="6">
        <f t="shared" si="9"/>
        <v>8.1823999999999977</v>
      </c>
      <c r="S26" s="6">
        <f t="shared" si="9"/>
        <v>5.1984000000000012</v>
      </c>
      <c r="T26" s="6">
        <f t="shared" si="9"/>
        <v>3.9583999999999993</v>
      </c>
      <c r="U26" s="6">
        <f t="shared" si="9"/>
        <v>5</v>
      </c>
      <c r="V26" s="6">
        <f t="shared" si="9"/>
        <v>9.0144000000000002</v>
      </c>
      <c r="W26" s="6">
        <f t="shared" si="9"/>
        <v>16.846399999999999</v>
      </c>
      <c r="X26" s="6">
        <f t="shared" si="9"/>
        <v>29.494400000000006</v>
      </c>
      <c r="Y26" s="6">
        <f t="shared" si="9"/>
        <v>48.110400000000006</v>
      </c>
      <c r="Z26" s="6">
        <f t="shared" si="9"/>
        <v>74</v>
      </c>
    </row>
    <row r="27" spans="1:26" x14ac:dyDescent="0.3">
      <c r="A27" s="28">
        <v>1.1000000000000001</v>
      </c>
      <c r="B27" s="28">
        <f t="shared" si="6"/>
        <v>0.34058772731852793</v>
      </c>
      <c r="C27" s="28">
        <f t="shared" si="7"/>
        <v>-0.34058772731852793</v>
      </c>
      <c r="D27" s="34">
        <f t="shared" si="5"/>
        <v>-0.27777777777777779</v>
      </c>
      <c r="E27" s="35">
        <v>0.2</v>
      </c>
      <c r="F27" s="6">
        <f t="shared" si="8"/>
        <v>152.47999999999996</v>
      </c>
      <c r="G27" s="6">
        <f t="shared" si="8"/>
        <v>117.58239999999999</v>
      </c>
      <c r="H27" s="6">
        <f t="shared" si="8"/>
        <v>90.02239999999999</v>
      </c>
      <c r="I27" s="6">
        <f t="shared" si="8"/>
        <v>68.494399999999999</v>
      </c>
      <c r="J27" s="6">
        <f t="shared" si="8"/>
        <v>51.846400000000003</v>
      </c>
      <c r="K27" s="6">
        <f t="shared" si="8"/>
        <v>39.080000000000005</v>
      </c>
      <c r="L27" s="6">
        <f t="shared" si="8"/>
        <v>29.3504</v>
      </c>
      <c r="M27" s="6">
        <f t="shared" si="8"/>
        <v>21.9664</v>
      </c>
      <c r="N27" s="6">
        <f t="shared" si="8"/>
        <v>16.390400000000003</v>
      </c>
      <c r="O27" s="6">
        <f t="shared" si="8"/>
        <v>12.238399999999999</v>
      </c>
      <c r="P27" s="6">
        <f t="shared" si="9"/>
        <v>9.2799999999999994</v>
      </c>
      <c r="Q27" s="6">
        <f t="shared" si="9"/>
        <v>7.4383999999999988</v>
      </c>
      <c r="R27" s="6">
        <f t="shared" si="9"/>
        <v>6.7904</v>
      </c>
      <c r="S27" s="6">
        <f t="shared" si="9"/>
        <v>7.5663999999999998</v>
      </c>
      <c r="T27" s="6">
        <f t="shared" si="9"/>
        <v>10.150399999999998</v>
      </c>
      <c r="U27" s="6">
        <f t="shared" si="9"/>
        <v>15.079999999999998</v>
      </c>
      <c r="V27" s="6">
        <f t="shared" si="9"/>
        <v>23.046399999999998</v>
      </c>
      <c r="W27" s="6">
        <f t="shared" si="9"/>
        <v>34.894400000000005</v>
      </c>
      <c r="X27" s="6">
        <f t="shared" si="9"/>
        <v>51.622400000000013</v>
      </c>
      <c r="Y27" s="6">
        <f t="shared" si="9"/>
        <v>74.382400000000018</v>
      </c>
      <c r="Z27" s="6">
        <f t="shared" si="9"/>
        <v>104.48</v>
      </c>
    </row>
    <row r="28" spans="1:26" x14ac:dyDescent="0.3">
      <c r="A28" s="6">
        <v>1.2</v>
      </c>
      <c r="B28" s="6">
        <f t="shared" si="6"/>
        <v>0.15491933384829673</v>
      </c>
      <c r="C28" s="6">
        <f t="shared" si="7"/>
        <v>-0.15491933384829673</v>
      </c>
      <c r="D28" s="33">
        <f t="shared" si="5"/>
        <v>-0.33333333333333331</v>
      </c>
      <c r="E28" s="35">
        <v>0.4</v>
      </c>
      <c r="F28" s="6">
        <f t="shared" si="8"/>
        <v>122.00000000000003</v>
      </c>
      <c r="G28" s="6">
        <f t="shared" si="8"/>
        <v>88.878399999999999</v>
      </c>
      <c r="H28" s="6">
        <f t="shared" si="8"/>
        <v>63.286400000000008</v>
      </c>
      <c r="I28" s="6">
        <f t="shared" si="8"/>
        <v>43.918400000000005</v>
      </c>
      <c r="J28" s="6">
        <f t="shared" si="8"/>
        <v>29.622400000000003</v>
      </c>
      <c r="K28" s="6">
        <f t="shared" si="8"/>
        <v>19.400000000000002</v>
      </c>
      <c r="L28" s="6">
        <f t="shared" si="8"/>
        <v>12.406399999999998</v>
      </c>
      <c r="M28" s="6">
        <f t="shared" si="8"/>
        <v>7.9504000000000001</v>
      </c>
      <c r="N28" s="6">
        <f t="shared" si="8"/>
        <v>5.4943999999999997</v>
      </c>
      <c r="O28" s="6">
        <f t="shared" si="8"/>
        <v>4.6544000000000008</v>
      </c>
      <c r="P28" s="6">
        <f t="shared" si="9"/>
        <v>5.1999999999999993</v>
      </c>
      <c r="Q28" s="6">
        <f t="shared" si="9"/>
        <v>7.0543999999999993</v>
      </c>
      <c r="R28" s="6">
        <f t="shared" si="9"/>
        <v>10.294399999999998</v>
      </c>
      <c r="S28" s="6">
        <f t="shared" si="9"/>
        <v>15.150399999999998</v>
      </c>
      <c r="T28" s="6">
        <f t="shared" si="9"/>
        <v>22.006399999999996</v>
      </c>
      <c r="U28" s="6">
        <f t="shared" si="9"/>
        <v>31.399999999999995</v>
      </c>
      <c r="V28" s="6">
        <f t="shared" si="9"/>
        <v>44.022399999999998</v>
      </c>
      <c r="W28" s="6">
        <f t="shared" si="9"/>
        <v>60.718399999999995</v>
      </c>
      <c r="X28" s="6">
        <f t="shared" si="9"/>
        <v>82.486400000000003</v>
      </c>
      <c r="Y28" s="6">
        <f t="shared" si="9"/>
        <v>110.47839999999999</v>
      </c>
      <c r="Z28" s="6">
        <f t="shared" si="9"/>
        <v>146</v>
      </c>
    </row>
    <row r="29" spans="1:26" x14ac:dyDescent="0.3">
      <c r="A29" s="15"/>
      <c r="B29" s="15"/>
      <c r="C29" s="15"/>
      <c r="D29" s="15"/>
      <c r="E29" s="35">
        <v>0.6</v>
      </c>
      <c r="F29" s="6">
        <f t="shared" si="8"/>
        <v>104.00000000000001</v>
      </c>
      <c r="G29" s="6">
        <f t="shared" si="8"/>
        <v>71.43840000000003</v>
      </c>
      <c r="H29" s="6">
        <f t="shared" si="8"/>
        <v>46.726400000000012</v>
      </c>
      <c r="I29" s="6">
        <f t="shared" si="8"/>
        <v>28.558399999999999</v>
      </c>
      <c r="J29" s="6">
        <f t="shared" si="8"/>
        <v>15.782400000000003</v>
      </c>
      <c r="K29" s="6">
        <f t="shared" si="8"/>
        <v>7.4000000000000021</v>
      </c>
      <c r="L29" s="6">
        <f t="shared" si="8"/>
        <v>2.566400000000002</v>
      </c>
      <c r="M29" s="19">
        <f t="shared" si="8"/>
        <v>0.59040000000000104</v>
      </c>
      <c r="N29" s="6">
        <f t="shared" si="8"/>
        <v>0.93439999999999945</v>
      </c>
      <c r="O29" s="6">
        <f t="shared" si="8"/>
        <v>3.2143999999999986</v>
      </c>
      <c r="P29" s="6">
        <f t="shared" si="9"/>
        <v>7.1999999999999975</v>
      </c>
      <c r="Q29" s="6">
        <f t="shared" si="9"/>
        <v>12.814399999999997</v>
      </c>
      <c r="R29" s="6">
        <f t="shared" si="9"/>
        <v>20.134399999999996</v>
      </c>
      <c r="S29" s="6">
        <f t="shared" si="9"/>
        <v>29.390399999999985</v>
      </c>
      <c r="T29" s="6">
        <f t="shared" si="9"/>
        <v>40.966399999999979</v>
      </c>
      <c r="U29" s="6">
        <f t="shared" si="9"/>
        <v>55.399999999999977</v>
      </c>
      <c r="V29" s="6">
        <f t="shared" si="9"/>
        <v>73.382399999999976</v>
      </c>
      <c r="W29" s="6">
        <f t="shared" si="9"/>
        <v>95.758399999999966</v>
      </c>
      <c r="X29" s="6">
        <f t="shared" si="9"/>
        <v>123.52639999999997</v>
      </c>
      <c r="Y29" s="6">
        <f t="shared" si="9"/>
        <v>157.83839999999998</v>
      </c>
      <c r="Z29" s="6">
        <f t="shared" si="9"/>
        <v>199.99999999999997</v>
      </c>
    </row>
    <row r="30" spans="1:26" x14ac:dyDescent="0.3">
      <c r="A30" s="15"/>
      <c r="B30" s="15"/>
      <c r="C30" s="15"/>
      <c r="D30" s="15"/>
      <c r="E30" s="35">
        <v>0.8</v>
      </c>
      <c r="F30" s="6">
        <f t="shared" si="8"/>
        <v>100.88000000000002</v>
      </c>
      <c r="G30" s="6">
        <f t="shared" si="8"/>
        <v>67.662400000000019</v>
      </c>
      <c r="H30" s="6">
        <f t="shared" si="8"/>
        <v>42.742400000000025</v>
      </c>
      <c r="I30" s="6">
        <f t="shared" si="8"/>
        <v>24.814399999999999</v>
      </c>
      <c r="J30" s="6">
        <f t="shared" si="8"/>
        <v>12.726399999999998</v>
      </c>
      <c r="K30" s="6">
        <f t="shared" si="8"/>
        <v>5.480000000000004</v>
      </c>
      <c r="L30" s="6">
        <f t="shared" si="8"/>
        <v>2.2304000000000013</v>
      </c>
      <c r="M30" s="6">
        <f t="shared" si="8"/>
        <v>2.2864000000000018</v>
      </c>
      <c r="N30" s="6">
        <f t="shared" si="8"/>
        <v>5.1104000000000012</v>
      </c>
      <c r="O30" s="6">
        <f t="shared" si="8"/>
        <v>10.318400000000002</v>
      </c>
      <c r="P30" s="6">
        <f t="shared" si="9"/>
        <v>17.68</v>
      </c>
      <c r="Q30" s="6">
        <f t="shared" si="9"/>
        <v>27.118399999999994</v>
      </c>
      <c r="R30" s="6">
        <f t="shared" si="9"/>
        <v>38.710399999999993</v>
      </c>
      <c r="S30" s="6">
        <f t="shared" si="9"/>
        <v>52.686399999999992</v>
      </c>
      <c r="T30" s="6">
        <f t="shared" si="9"/>
        <v>69.430399999999992</v>
      </c>
      <c r="U30" s="6">
        <f t="shared" si="9"/>
        <v>89.47999999999999</v>
      </c>
      <c r="V30" s="6">
        <f t="shared" si="9"/>
        <v>113.5264</v>
      </c>
      <c r="W30" s="6">
        <f t="shared" si="9"/>
        <v>142.41439999999997</v>
      </c>
      <c r="X30" s="6">
        <f t="shared" si="9"/>
        <v>177.14240000000001</v>
      </c>
      <c r="Y30" s="6">
        <f t="shared" si="9"/>
        <v>218.86240000000001</v>
      </c>
      <c r="Z30" s="6">
        <f t="shared" si="9"/>
        <v>268.88</v>
      </c>
    </row>
    <row r="31" spans="1:26" x14ac:dyDescent="0.3">
      <c r="A31" s="15"/>
      <c r="B31" s="15"/>
      <c r="C31" s="15"/>
      <c r="D31" s="15"/>
      <c r="E31" s="35">
        <v>1</v>
      </c>
      <c r="F31" s="6">
        <f t="shared" si="8"/>
        <v>116</v>
      </c>
      <c r="G31" s="6">
        <f t="shared" si="8"/>
        <v>80.91040000000001</v>
      </c>
      <c r="H31" s="6">
        <f t="shared" si="8"/>
        <v>54.694400000000016</v>
      </c>
      <c r="I31" s="6">
        <f t="shared" si="8"/>
        <v>36.046399999999998</v>
      </c>
      <c r="J31" s="6">
        <f t="shared" si="8"/>
        <v>23.814399999999999</v>
      </c>
      <c r="K31" s="6">
        <f t="shared" si="8"/>
        <v>17</v>
      </c>
      <c r="L31" s="6">
        <f t="shared" si="8"/>
        <v>14.758400000000002</v>
      </c>
      <c r="M31" s="6">
        <f t="shared" si="8"/>
        <v>16.398399999999999</v>
      </c>
      <c r="N31" s="6">
        <f t="shared" si="8"/>
        <v>21.382400000000001</v>
      </c>
      <c r="O31" s="6">
        <f t="shared" si="8"/>
        <v>29.3264</v>
      </c>
      <c r="P31" s="6">
        <f t="shared" si="9"/>
        <v>40</v>
      </c>
      <c r="Q31" s="6">
        <f t="shared" si="9"/>
        <v>53.3264</v>
      </c>
      <c r="R31" s="6">
        <f t="shared" si="9"/>
        <v>69.382400000000004</v>
      </c>
      <c r="S31" s="6">
        <f t="shared" si="9"/>
        <v>88.398399999999995</v>
      </c>
      <c r="T31" s="6">
        <f t="shared" si="9"/>
        <v>110.75839999999999</v>
      </c>
      <c r="U31" s="6">
        <f t="shared" si="9"/>
        <v>137</v>
      </c>
      <c r="V31" s="6">
        <f t="shared" si="9"/>
        <v>167.81440000000001</v>
      </c>
      <c r="W31" s="6">
        <f t="shared" si="9"/>
        <v>204.04640000000001</v>
      </c>
      <c r="X31" s="6">
        <f t="shared" si="9"/>
        <v>246.69440000000003</v>
      </c>
      <c r="Y31" s="6">
        <f t="shared" si="9"/>
        <v>296.91039999999998</v>
      </c>
      <c r="Z31" s="6">
        <f t="shared" si="9"/>
        <v>356</v>
      </c>
    </row>
    <row r="32" spans="1:26" x14ac:dyDescent="0.3">
      <c r="A32" s="13"/>
      <c r="B32" s="13"/>
      <c r="C32" s="13"/>
      <c r="D32" s="13"/>
      <c r="E32" s="35">
        <v>1.2</v>
      </c>
      <c r="F32" s="6">
        <f t="shared" si="8"/>
        <v>153.67999999999998</v>
      </c>
      <c r="G32" s="6">
        <f t="shared" si="8"/>
        <v>115.50239999999999</v>
      </c>
      <c r="H32" s="6">
        <f t="shared" si="8"/>
        <v>86.902400000000014</v>
      </c>
      <c r="I32" s="6">
        <f t="shared" si="8"/>
        <v>66.574399999999983</v>
      </c>
      <c r="J32" s="6">
        <f t="shared" si="8"/>
        <v>53.36639999999997</v>
      </c>
      <c r="K32" s="6">
        <f t="shared" si="8"/>
        <v>46.279999999999987</v>
      </c>
      <c r="L32" s="6">
        <f t="shared" si="8"/>
        <v>44.470399999999998</v>
      </c>
      <c r="M32" s="6">
        <f t="shared" si="8"/>
        <v>47.24639999999998</v>
      </c>
      <c r="N32" s="6">
        <f t="shared" si="8"/>
        <v>54.070399999999978</v>
      </c>
      <c r="O32" s="6">
        <f t="shared" si="8"/>
        <v>64.558399999999978</v>
      </c>
      <c r="P32" s="6">
        <f t="shared" si="9"/>
        <v>78.479999999999976</v>
      </c>
      <c r="Q32" s="6">
        <f t="shared" si="9"/>
        <v>95.75839999999998</v>
      </c>
      <c r="R32" s="6">
        <f t="shared" si="9"/>
        <v>116.47039999999997</v>
      </c>
      <c r="S32" s="6">
        <f t="shared" si="9"/>
        <v>140.84639999999996</v>
      </c>
      <c r="T32" s="6">
        <f t="shared" si="9"/>
        <v>169.2704</v>
      </c>
      <c r="U32" s="6">
        <f t="shared" si="9"/>
        <v>202.27999999999997</v>
      </c>
      <c r="V32" s="6">
        <f t="shared" si="9"/>
        <v>240.56639999999987</v>
      </c>
      <c r="W32" s="6">
        <f t="shared" si="9"/>
        <v>284.97439999999989</v>
      </c>
      <c r="X32" s="6">
        <f t="shared" si="9"/>
        <v>336.50239999999991</v>
      </c>
      <c r="Y32" s="6">
        <f t="shared" si="9"/>
        <v>396.30239999999992</v>
      </c>
      <c r="Z32" s="6">
        <f t="shared" si="9"/>
        <v>465.67999999999989</v>
      </c>
    </row>
    <row r="33" spans="1:26" x14ac:dyDescent="0.3">
      <c r="A33" s="13"/>
      <c r="B33" s="13"/>
      <c r="C33" s="13"/>
      <c r="D33" s="13"/>
      <c r="E33" s="35">
        <v>1.4</v>
      </c>
      <c r="F33" s="6">
        <f t="shared" si="8"/>
        <v>219.1999999999999</v>
      </c>
      <c r="G33" s="6">
        <f t="shared" si="8"/>
        <v>176.71840000000003</v>
      </c>
      <c r="H33" s="6">
        <f t="shared" si="8"/>
        <v>144.6464</v>
      </c>
      <c r="I33" s="6">
        <f t="shared" si="8"/>
        <v>121.67839999999998</v>
      </c>
      <c r="J33" s="6">
        <f t="shared" si="8"/>
        <v>106.66239999999999</v>
      </c>
      <c r="K33" s="6">
        <f t="shared" si="8"/>
        <v>98.59999999999998</v>
      </c>
      <c r="L33" s="6">
        <f t="shared" si="8"/>
        <v>96.646399999999971</v>
      </c>
      <c r="M33" s="6">
        <f t="shared" si="8"/>
        <v>100.1104</v>
      </c>
      <c r="N33" s="6">
        <f t="shared" si="8"/>
        <v>108.45439999999999</v>
      </c>
      <c r="O33" s="6">
        <f t="shared" si="8"/>
        <v>121.29439999999998</v>
      </c>
      <c r="P33" s="6">
        <f t="shared" si="9"/>
        <v>138.39999999999998</v>
      </c>
      <c r="Q33" s="6">
        <f t="shared" si="9"/>
        <v>159.69439999999997</v>
      </c>
      <c r="R33" s="6">
        <f t="shared" si="9"/>
        <v>185.25439999999998</v>
      </c>
      <c r="S33" s="6">
        <f t="shared" si="9"/>
        <v>215.31039999999999</v>
      </c>
      <c r="T33" s="6">
        <f t="shared" si="9"/>
        <v>250.24639999999999</v>
      </c>
      <c r="U33" s="6">
        <f t="shared" si="9"/>
        <v>290.60000000000002</v>
      </c>
      <c r="V33" s="6">
        <f t="shared" si="9"/>
        <v>337.06240000000003</v>
      </c>
      <c r="W33" s="6">
        <f t="shared" si="9"/>
        <v>390.47840000000002</v>
      </c>
      <c r="X33" s="6">
        <f t="shared" si="9"/>
        <v>451.84640000000002</v>
      </c>
      <c r="Y33" s="6">
        <f t="shared" si="9"/>
        <v>522.31840000000011</v>
      </c>
      <c r="Z33" s="6">
        <f t="shared" si="9"/>
        <v>603.20000000000005</v>
      </c>
    </row>
    <row r="34" spans="1:26" x14ac:dyDescent="0.3">
      <c r="A34" s="13"/>
      <c r="B34" s="13"/>
      <c r="C34" s="13"/>
      <c r="D34" s="13"/>
      <c r="E34" s="35">
        <v>1.6</v>
      </c>
      <c r="F34" s="6">
        <f t="shared" si="8"/>
        <v>318.80000000000013</v>
      </c>
      <c r="G34" s="6">
        <f t="shared" si="8"/>
        <v>270.79840000000002</v>
      </c>
      <c r="H34" s="6">
        <f t="shared" si="8"/>
        <v>234.16640000000007</v>
      </c>
      <c r="I34" s="6">
        <f t="shared" si="8"/>
        <v>207.59840000000008</v>
      </c>
      <c r="J34" s="6">
        <f t="shared" si="8"/>
        <v>189.94240000000008</v>
      </c>
      <c r="K34" s="6">
        <f t="shared" si="8"/>
        <v>180.20000000000007</v>
      </c>
      <c r="L34" s="6">
        <f t="shared" si="8"/>
        <v>177.52640000000005</v>
      </c>
      <c r="M34" s="6">
        <f t="shared" si="8"/>
        <v>181.23040000000009</v>
      </c>
      <c r="N34" s="6">
        <f t="shared" si="8"/>
        <v>190.77440000000007</v>
      </c>
      <c r="O34" s="6">
        <f t="shared" si="8"/>
        <v>205.77440000000007</v>
      </c>
      <c r="P34" s="6">
        <f t="shared" si="9"/>
        <v>226.00000000000006</v>
      </c>
      <c r="Q34" s="6">
        <f t="shared" si="9"/>
        <v>251.37440000000007</v>
      </c>
      <c r="R34" s="6">
        <f t="shared" si="9"/>
        <v>281.97440000000006</v>
      </c>
      <c r="S34" s="6">
        <f t="shared" si="9"/>
        <v>318.03040000000004</v>
      </c>
      <c r="T34" s="6">
        <f t="shared" si="9"/>
        <v>359.9264</v>
      </c>
      <c r="U34" s="6">
        <f t="shared" si="9"/>
        <v>408.20000000000005</v>
      </c>
      <c r="V34" s="6">
        <f t="shared" si="9"/>
        <v>463.54240000000004</v>
      </c>
      <c r="W34" s="6">
        <f t="shared" si="9"/>
        <v>526.79840000000002</v>
      </c>
      <c r="X34" s="6">
        <f t="shared" si="9"/>
        <v>598.96640000000002</v>
      </c>
      <c r="Y34" s="6">
        <f t="shared" si="9"/>
        <v>681.19839999999999</v>
      </c>
      <c r="Z34" s="6">
        <f t="shared" si="9"/>
        <v>774.80000000000007</v>
      </c>
    </row>
    <row r="35" spans="1:26" x14ac:dyDescent="0.3">
      <c r="A35" s="13"/>
      <c r="B35" s="13"/>
      <c r="C35" s="13"/>
      <c r="D35" s="13"/>
      <c r="E35" s="35">
        <v>1.8</v>
      </c>
      <c r="F35" s="6">
        <f t="shared" si="8"/>
        <v>459.68000000000012</v>
      </c>
      <c r="G35" s="6">
        <f t="shared" si="8"/>
        <v>404.94240000000013</v>
      </c>
      <c r="H35" s="6">
        <f t="shared" si="8"/>
        <v>362.66240000000016</v>
      </c>
      <c r="I35" s="6">
        <f t="shared" si="8"/>
        <v>331.53440000000001</v>
      </c>
      <c r="J35" s="6">
        <f t="shared" si="8"/>
        <v>310.40640000000002</v>
      </c>
      <c r="K35" s="6">
        <f t="shared" si="8"/>
        <v>298.28000000000009</v>
      </c>
      <c r="L35" s="6">
        <f t="shared" si="8"/>
        <v>294.31040000000007</v>
      </c>
      <c r="M35" s="6">
        <f t="shared" si="8"/>
        <v>297.80640000000005</v>
      </c>
      <c r="N35" s="6">
        <f t="shared" si="8"/>
        <v>308.23040000000009</v>
      </c>
      <c r="O35" s="6">
        <f t="shared" si="8"/>
        <v>325.19839999999999</v>
      </c>
      <c r="P35" s="6">
        <f t="shared" si="9"/>
        <v>348.48</v>
      </c>
      <c r="Q35" s="6">
        <f t="shared" si="9"/>
        <v>377.9984</v>
      </c>
      <c r="R35" s="6">
        <f t="shared" si="9"/>
        <v>413.83040000000005</v>
      </c>
      <c r="S35" s="6">
        <f t="shared" si="9"/>
        <v>456.20640000000003</v>
      </c>
      <c r="T35" s="6">
        <f t="shared" si="9"/>
        <v>505.51040000000012</v>
      </c>
      <c r="U35" s="6">
        <f t="shared" si="9"/>
        <v>562.28</v>
      </c>
      <c r="V35" s="6">
        <f t="shared" si="9"/>
        <v>627.20640000000003</v>
      </c>
      <c r="W35" s="6">
        <f t="shared" si="9"/>
        <v>701.13439999999991</v>
      </c>
      <c r="X35" s="6">
        <f t="shared" si="9"/>
        <v>785.06240000000014</v>
      </c>
      <c r="Y35" s="6">
        <f t="shared" si="9"/>
        <v>880.14240000000018</v>
      </c>
      <c r="Z35" s="6">
        <f t="shared" si="9"/>
        <v>987.68000000000006</v>
      </c>
    </row>
    <row r="36" spans="1:26" x14ac:dyDescent="0.3">
      <c r="A36" s="13"/>
      <c r="B36" s="13"/>
      <c r="C36" s="13"/>
      <c r="D36" s="13"/>
      <c r="E36" s="35">
        <v>2</v>
      </c>
      <c r="F36" s="6">
        <f t="shared" ref="F36" si="10">(2*F$15^2+5*$E36^2 - 3)^2+(5*F$15+9*$E36-3)^2</f>
        <v>650</v>
      </c>
      <c r="G36" s="6">
        <f t="shared" ref="G36:Z36" si="11">(2*G$15^2+5*$E36^2 - 3)^2+(5*G$15+9*$E36-3)^2</f>
        <v>587.31040000000007</v>
      </c>
      <c r="H36" s="6">
        <f t="shared" si="11"/>
        <v>538.2944</v>
      </c>
      <c r="I36" s="6">
        <f t="shared" si="11"/>
        <v>501.64639999999991</v>
      </c>
      <c r="J36" s="6">
        <f t="shared" si="11"/>
        <v>476.21439999999996</v>
      </c>
      <c r="K36" s="6">
        <f t="shared" si="11"/>
        <v>461</v>
      </c>
      <c r="L36" s="6">
        <f t="shared" si="11"/>
        <v>455.15840000000003</v>
      </c>
      <c r="M36" s="6">
        <f t="shared" si="11"/>
        <v>457.99839999999995</v>
      </c>
      <c r="N36" s="6">
        <f t="shared" si="11"/>
        <v>468.98239999999998</v>
      </c>
      <c r="O36" s="6">
        <f t="shared" si="11"/>
        <v>487.72639999999996</v>
      </c>
      <c r="P36" s="6">
        <f t="shared" si="11"/>
        <v>514</v>
      </c>
      <c r="Q36" s="6">
        <f t="shared" si="11"/>
        <v>547.72640000000001</v>
      </c>
      <c r="R36" s="6">
        <f t="shared" si="11"/>
        <v>588.98239999999998</v>
      </c>
      <c r="S36" s="6">
        <f t="shared" si="11"/>
        <v>637.99839999999995</v>
      </c>
      <c r="T36" s="6">
        <f t="shared" si="11"/>
        <v>695.15840000000003</v>
      </c>
      <c r="U36" s="6">
        <f t="shared" si="11"/>
        <v>761</v>
      </c>
      <c r="V36" s="6">
        <f t="shared" si="11"/>
        <v>836.21439999999996</v>
      </c>
      <c r="W36" s="6">
        <f t="shared" si="11"/>
        <v>921.64639999999986</v>
      </c>
      <c r="X36" s="6">
        <f t="shared" si="11"/>
        <v>1018.2944</v>
      </c>
      <c r="Y36" s="6">
        <f t="shared" si="11"/>
        <v>1127.3104000000001</v>
      </c>
      <c r="Z36" s="6">
        <f t="shared" si="11"/>
        <v>1250</v>
      </c>
    </row>
    <row r="37" spans="1:26" x14ac:dyDescent="0.3">
      <c r="A37" s="13"/>
      <c r="B37" s="13"/>
      <c r="C37" s="13"/>
      <c r="D37" s="13"/>
    </row>
    <row r="38" spans="1:26" x14ac:dyDescent="0.3">
      <c r="A38" s="13"/>
      <c r="B38" s="13"/>
      <c r="C38" s="13"/>
      <c r="D38" s="13"/>
    </row>
    <row r="39" spans="1:26" x14ac:dyDescent="0.3">
      <c r="A39" s="13"/>
      <c r="B39" s="13"/>
      <c r="C39" s="13"/>
      <c r="D39" s="13"/>
    </row>
    <row r="40" spans="1:26" x14ac:dyDescent="0.3">
      <c r="A40" s="13"/>
      <c r="B40" s="13"/>
      <c r="C40" s="13"/>
      <c r="D40" s="13"/>
    </row>
    <row r="41" spans="1:26" x14ac:dyDescent="0.3">
      <c r="A41" s="13"/>
      <c r="B41" s="13"/>
      <c r="C41" s="13"/>
      <c r="D41" s="13"/>
    </row>
    <row r="42" spans="1:26" x14ac:dyDescent="0.3">
      <c r="A42" s="13"/>
      <c r="B42" s="13"/>
      <c r="C42" s="13"/>
      <c r="D42" s="13"/>
    </row>
    <row r="43" spans="1:26" x14ac:dyDescent="0.3">
      <c r="A43" s="13"/>
      <c r="B43" s="13"/>
      <c r="C43" s="13"/>
      <c r="D43" s="13"/>
    </row>
    <row r="44" spans="1:26" x14ac:dyDescent="0.3">
      <c r="A44" s="13"/>
      <c r="B44" s="13"/>
      <c r="C44" s="13"/>
      <c r="D44" s="13"/>
    </row>
  </sheetData>
  <mergeCells count="3">
    <mergeCell ref="A1:E1"/>
    <mergeCell ref="A2:C2"/>
    <mergeCell ref="L9:P9"/>
  </mergeCells>
  <pageMargins left="0.7" right="0.7" top="0.75" bottom="0.75" header="0.3" footer="0.3"/>
  <pageSetup paperSize="9" orientation="portrait" horizontalDpi="300" verticalDpi="0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Задание №1</vt:lpstr>
      <vt:lpstr>Задание №2</vt:lpstr>
      <vt:lpstr>Задание №3</vt:lpstr>
      <vt:lpstr>Задание №4</vt:lpstr>
      <vt:lpstr>Задание №5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</dc:creator>
  <cp:lastModifiedBy>feef ewfew</cp:lastModifiedBy>
  <dcterms:created xsi:type="dcterms:W3CDTF">2021-01-15T10:50:11Z</dcterms:created>
  <dcterms:modified xsi:type="dcterms:W3CDTF">2025-01-27T08:02:02Z</dcterms:modified>
</cp:coreProperties>
</file>