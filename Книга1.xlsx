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.EMIS.104\Documents\"/>
    </mc:Choice>
  </mc:AlternateContent>
  <xr:revisionPtr revIDLastSave="0" documentId="8_{32A8EDB6-EF1B-4801-B890-F9129BF6306F}" xr6:coauthVersionLast="47" xr6:coauthVersionMax="47" xr10:uidLastSave="{00000000-0000-0000-0000-000000000000}"/>
  <bookViews>
    <workbookView xWindow="11475" yWindow="3210" windowWidth="21600" windowHeight="11385" xr2:uid="{247D821A-BF29-413F-8088-F080BAB698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K13" i="1"/>
  <c r="L18" i="1"/>
  <c r="M18" i="1"/>
  <c r="M13" i="1"/>
  <c r="L13" i="1"/>
  <c r="L14" i="1"/>
  <c r="M14" i="1"/>
  <c r="L15" i="1"/>
  <c r="M15" i="1"/>
  <c r="K15" i="1"/>
  <c r="K18" i="1"/>
  <c r="L8" i="1"/>
  <c r="M8" i="1"/>
  <c r="L9" i="1"/>
  <c r="M9" i="1"/>
  <c r="L10" i="1"/>
  <c r="M10" i="1"/>
  <c r="K9" i="1"/>
  <c r="K10" i="1"/>
  <c r="K8" i="1"/>
  <c r="O8" i="1"/>
  <c r="P9" i="1"/>
  <c r="P8" i="1"/>
  <c r="Q8" i="1"/>
  <c r="Q9" i="1"/>
  <c r="P10" i="1"/>
  <c r="Q10" i="1"/>
  <c r="O9" i="1"/>
  <c r="O10" i="1"/>
</calcChain>
</file>

<file path=xl/sharedStrings.xml><?xml version="1.0" encoding="utf-8"?>
<sst xmlns="http://schemas.openxmlformats.org/spreadsheetml/2006/main" count="8" uniqueCount="6">
  <si>
    <t>о1</t>
  </si>
  <si>
    <t>о2</t>
  </si>
  <si>
    <t>о3</t>
  </si>
  <si>
    <t>Макс</t>
  </si>
  <si>
    <t>Мин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</si>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</sst>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E69D-EBB3-4EA7-B164-5E7F0079A35A}">
  <dimension ref="E7:Q18"/>
  <sheetViews>
    <sheetView tabSelected="1" topLeftCell="D1" workbookViewId="0">
      <selection activeCell="F12" sqref="F12"/>
    </sheetView>
  </sheetViews>
  <sheetFormatPr defaultRowHeight="15" x14ac:dyDescent="0.25"/>
  <sheetData>
    <row r="7" spans="5:17" x14ac:dyDescent="0.25">
      <c r="E7" s="1" t="s">
        <v>0</v>
      </c>
      <c r="F7" s="1" t="s">
        <v>1</v>
      </c>
      <c r="G7" s="1" t="s">
        <v>2</v>
      </c>
      <c r="H7" s="1" t="s">
        <v>3</v>
      </c>
      <c r="I7" s="1" t="s">
        <v>4</v>
      </c>
    </row>
    <row r="8" spans="5:17" x14ac:dyDescent="0.25">
      <c r="E8" s="1">
        <v>12990</v>
      </c>
      <c r="F8" s="1">
        <v>14990</v>
      </c>
      <c r="G8" s="1">
        <v>19990</v>
      </c>
      <c r="H8" s="1">
        <v>199900</v>
      </c>
      <c r="I8" s="1">
        <v>500</v>
      </c>
      <c r="J8" s="1">
        <v>0.9</v>
      </c>
      <c r="K8">
        <f>(E8-$I8)/($H8-$I8)</f>
        <v>6.2637913741223669E-2</v>
      </c>
      <c r="L8">
        <f t="shared" ref="L8:M10" si="0">(F8-$I8)/($H8-$I8)</f>
        <v>7.2668004012036103E-2</v>
      </c>
      <c r="M8">
        <f t="shared" si="0"/>
        <v>9.7743229689067207E-2</v>
      </c>
      <c r="O8">
        <f>($H8 - E8)/($H8-$I8)</f>
        <v>0.93736208625877637</v>
      </c>
      <c r="P8">
        <f t="shared" ref="P8:Q10" si="1">($H8 - F8)/($H8-$I8)</f>
        <v>0.9273319959879639</v>
      </c>
      <c r="Q8">
        <f t="shared" si="1"/>
        <v>0.90225677031093277</v>
      </c>
    </row>
    <row r="9" spans="5:17" x14ac:dyDescent="0.25">
      <c r="E9" s="1">
        <v>186</v>
      </c>
      <c r="F9" s="1">
        <v>199</v>
      </c>
      <c r="G9" s="1">
        <v>172</v>
      </c>
      <c r="H9" s="1">
        <v>2000</v>
      </c>
      <c r="I9" s="1">
        <v>100</v>
      </c>
      <c r="J9" s="1">
        <v>0.5</v>
      </c>
      <c r="K9">
        <f t="shared" ref="K9:K10" si="2">(E9-$I9)/($H9-$I9)</f>
        <v>4.5263157894736845E-2</v>
      </c>
      <c r="L9">
        <f t="shared" si="0"/>
        <v>5.2105263157894738E-2</v>
      </c>
      <c r="M9">
        <f t="shared" si="0"/>
        <v>3.7894736842105266E-2</v>
      </c>
      <c r="O9">
        <f t="shared" ref="O9:O10" si="3">($H9 - E9)/($H9-$I9)</f>
        <v>0.95473684210526311</v>
      </c>
      <c r="P9">
        <f>($H9 - F9)/($H9-$I9)</f>
        <v>0.94789473684210523</v>
      </c>
      <c r="Q9">
        <f t="shared" si="1"/>
        <v>0.96210526315789469</v>
      </c>
    </row>
    <row r="10" spans="5:17" x14ac:dyDescent="0.25">
      <c r="E10" s="1">
        <v>64</v>
      </c>
      <c r="F10" s="1">
        <v>64</v>
      </c>
      <c r="G10" s="1">
        <v>128</v>
      </c>
      <c r="H10" s="1">
        <v>2048</v>
      </c>
      <c r="I10" s="1">
        <v>8</v>
      </c>
      <c r="J10" s="1">
        <v>0.7</v>
      </c>
      <c r="K10">
        <f t="shared" si="2"/>
        <v>2.7450980392156862E-2</v>
      </c>
      <c r="L10">
        <f t="shared" si="0"/>
        <v>2.7450980392156862E-2</v>
      </c>
      <c r="M10">
        <f t="shared" si="0"/>
        <v>5.8823529411764705E-2</v>
      </c>
      <c r="O10">
        <f t="shared" si="3"/>
        <v>0.97254901960784312</v>
      </c>
      <c r="P10">
        <f t="shared" si="1"/>
        <v>0.97254901960784312</v>
      </c>
      <c r="Q10">
        <f t="shared" si="1"/>
        <v>0.94117647058823528</v>
      </c>
    </row>
    <row r="13" spans="5:17" x14ac:dyDescent="0.25">
      <c r="K13">
        <f>$J8*K8</f>
        <v>5.6374122367101306E-2</v>
      </c>
      <c r="L13">
        <f t="shared" ref="L13:M13" si="4">$J8*L8</f>
        <v>6.5401203610832501E-2</v>
      </c>
      <c r="M13">
        <f>$J8*M8</f>
        <v>8.7968906720160486E-2</v>
      </c>
    </row>
    <row r="14" spans="5:17" x14ac:dyDescent="0.25">
      <c r="K14">
        <f>$J9*K9</f>
        <v>2.2631578947368423E-2</v>
      </c>
      <c r="L14">
        <f t="shared" ref="K14:M15" si="5">$J9*L9</f>
        <v>2.6052631578947369E-2</v>
      </c>
      <c r="M14">
        <f t="shared" si="5"/>
        <v>1.8947368421052633E-2</v>
      </c>
    </row>
    <row r="15" spans="5:17" x14ac:dyDescent="0.25">
      <c r="K15">
        <f t="shared" si="5"/>
        <v>1.9215686274509803E-2</v>
      </c>
      <c r="L15">
        <f t="shared" si="5"/>
        <v>1.9215686274509803E-2</v>
      </c>
      <c r="M15">
        <f t="shared" si="5"/>
        <v>4.1176470588235294E-2</v>
      </c>
    </row>
    <row r="17" spans="11:13" x14ac:dyDescent="0.25">
      <c r="K17" t="s">
        <v>5</v>
      </c>
      <c r="L17" t="s">
        <v>5</v>
      </c>
      <c r="M17" t="s">
        <v>5</v>
      </c>
    </row>
    <row r="18" spans="11:13" x14ac:dyDescent="0.25">
      <c r="K18">
        <f>SUM(K13:K15)</f>
        <v>9.8221387588979525E-2</v>
      </c>
      <c r="L18">
        <f t="shared" ref="L18:M18" si="6">SUM(L13:L15)</f>
        <v>0.11066952146428967</v>
      </c>
      <c r="M18">
        <f t="shared" si="6"/>
        <v>0.14809274572944842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2026-03-30T09:00:05Z</dcterms:created>
  <dcterms:modified xsi:type="dcterms:W3CDTF">2026-03-30T09:28:28Z</dcterms:modified>
</cp:coreProperties>
</file>