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80"/>
  </bookViews>
  <sheets>
    <sheet name="Оценка_команд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<sst xmlns="http://schemas.openxmlformats.org/spreadsheetml/2006/main" count="45" uniqueCount="25">
  <si>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t>Неделя</t>
  </si>
  <si>
    <t>Имя</t>
  </si>
  <si>
    <t>Задача</t>
  </si>
  <si>
    <t>Сложность (1-10)</t>
  </si>
  <si>
    <t>Польза (1-10)</t>
  </si>
  <si>
    <t>Личная занятость (1-10)</t>
  </si>
  <si>
    <t>ИТОГ</t>
  </si>
  <si>
    <t>Макар</t>
  </si>
  <si>
    <t>Спроектировал БД</t>
  </si>
  <si>
    <t>Андрей</t>
  </si>
  <si>
    <t>Иван</t>
  </si>
  <si>
    <t>Катя</t>
  </si>
  <si>
    <t>Лера</t>
  </si>
  <si>
    <t>Даша</t>
  </si>
  <si>
    <t>Маша</t>
  </si>
  <si>
    <t>Виолетта</t>
  </si>
  <si>
    <t>Средние значение</t>
  </si>
  <si>
    <t>5 балла</t>
  </si>
  <si>
    <t>4 балла</t>
  </si>
  <si>
    <t>3 балла</t>
  </si>
  <si>
    <t>Прошел курс на степике по SQL выфффффффффффффффффффффффффффф фффффффффффффффффффффффф</t>
  </si>
  <si>
    <t>Написал тесты для БД</t>
  </si>
  <si>
    <t>Нарисовал ERD</t>
  </si>
  <si>
    <t>Имя\Неделя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</si>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</sst>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4"/>
      <color theme="1"/>
      <name val="Calibri"/>
      <charset val="134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4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2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400"/>
              <a:t>Эффективность за семестр по неделям</a:t>
            </a:r>
            <a:endParaRPr sz="24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Оценка_команды!$I$22</c:f>
              <c:strCache>
                <c:ptCount val="1"/>
                <c:pt idx="0">
                  <c:v>Макар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Оценка_команды!$J$22:$AG$22</c:f>
              <c:numCache>
                <c:formatCode>General</c:formatCode>
                <c:ptCount val="24"/>
                <c:pt idx="0">
                  <c:v>37</c:v>
                </c:pt>
                <c:pt idx="1">
                  <c:v>22.5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Оценка_команды!$I$23</c:f>
              <c:strCache>
                <c:ptCount val="1"/>
                <c:pt idx="0">
                  <c:v>Андрей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Оценка_команды!$J$23:$AG$23</c:f>
              <c:numCache>
                <c:formatCode>General</c:formatCode>
                <c:ptCount val="24"/>
                <c:pt idx="0">
                  <c:v>19.5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Оценка_команды!$I$24</c:f>
              <c:strCache>
                <c:ptCount val="1"/>
                <c:pt idx="0">
                  <c:v>Иван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val>
            <c:numRef>
              <c:f>Оценка_команды!$J$24:$AG$24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Оценка_команды!$I$25</c:f>
              <c:strCache>
                <c:ptCount val="1"/>
                <c:pt idx="0">
                  <c:v>Катя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val>
            <c:numRef>
              <c:f>Оценка_команды!$J$25:$AG$25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Оценка_команды!$I$26</c:f>
              <c:strCache>
                <c:ptCount val="1"/>
                <c:pt idx="0">
                  <c:v>Лера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val>
            <c:numRef>
              <c:f>Оценка_команды!$J$26:$AG$26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Оценка_команды!$I$27</c:f>
              <c:strCache>
                <c:ptCount val="1"/>
                <c:pt idx="0">
                  <c:v>Даша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val>
            <c:numRef>
              <c:f>Оценка_команды!$J$27:$AG$27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Оценка_команды!$I$28</c:f>
              <c:strCache>
                <c:ptCount val="1"/>
                <c:pt idx="0">
                  <c:v>Маша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val>
            <c:numRef>
              <c:f>Оценка_команды!$J$28:$AG$28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Оценка_команды!$I$29</c:f>
              <c:strCache>
                <c:ptCount val="1"/>
                <c:pt idx="0">
                  <c:v>Виолетта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val>
            <c:numRef>
              <c:f>Оценка_команды!$J$29:$AG$29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Оценка_команды!$I$30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8575" cap="rnd" cmpd="sng">
              <a:solidFill>
                <a:schemeClr val="accent3">
                  <a:lumMod val="60000"/>
                </a:schemeClr>
              </a:solidFill>
              <a:prstDash val="sysDot"/>
              <a:round/>
            </a:ln>
            <a:effectLst/>
            <a:sp3d contourW="28575"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val>
            <c:numRef>
              <c:f>Оценка_команды!$J$30:$AG$30</c:f>
              <c:numCache>
                <c:formatCode>General</c:formatCode>
                <c:ptCount val="24"/>
                <c:pt idx="0">
                  <c:v>7.0625</c:v>
                </c:pt>
                <c:pt idx="1">
                  <c:v>5.8125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34818"/>
        <c:axId val="746397184"/>
      </c:lineChart>
      <c:catAx>
        <c:axId val="1916348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397184"/>
        <c:crosses val="autoZero"/>
        <c:auto val="1"/>
        <c:lblAlgn val="ctr"/>
        <c:lblOffset val="100"/>
        <c:noMultiLvlLbl val="0"/>
      </c:catAx>
      <c:valAx>
        <c:axId val="74639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6348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ru-RU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ru-RU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ru-RU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ru-RU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ru-RU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ru-RU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ru-RU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ru-RU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ru-RU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0671248966807326"/>
          <c:y val="0.918834250996772"/>
          <c:w val="0.893157001783617"/>
          <c:h val="0.069774064932599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 sz="2000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628015</xdr:colOff>
      <xdr:row>10</xdr:row>
      <xdr:rowOff>179070</xdr:rowOff>
    </xdr:from>
    <xdr:ext cx="2862580" cy="519430"/>
    <xdr:sp>
      <xdr:nvSpPr>
        <xdr:cNvPr id="2" name="Текстовое поле 1"/>
        <xdr:cNvSpPr txBox="1"/>
      </xdr:nvSpPr>
      <xdr:spPr>
        <a:xfrm>
          <a:off x="13632180" y="2693670"/>
          <a:ext cx="2862580" cy="5194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2600" b="1"/>
            <a:t>Финальные баллы</a:t>
          </a:r>
          <a:endParaRPr lang="ru-RU" altLang="en-US" sz="2600" b="1"/>
        </a:p>
      </xdr:txBody>
    </xdr:sp>
    <xdr:clientData/>
  </xdr:oneCellAnchor>
  <xdr:oneCellAnchor>
    <xdr:from>
      <xdr:col>12</xdr:col>
      <xdr:colOff>664845</xdr:colOff>
      <xdr:row>4</xdr:row>
      <xdr:rowOff>55245</xdr:rowOff>
    </xdr:from>
    <xdr:ext cx="2263775" cy="523875"/>
    <xdr:sp>
      <xdr:nvSpPr>
        <xdr:cNvPr id="3" name="Текстовое поле 2"/>
        <xdr:cNvSpPr txBox="1"/>
      </xdr:nvSpPr>
      <xdr:spPr>
        <a:xfrm>
          <a:off x="15726410" y="786765"/>
          <a:ext cx="2263775" cy="523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2600" b="1"/>
            <a:t>Кол-во баллов</a:t>
          </a:r>
          <a:endParaRPr lang="ru-RU" altLang="en-US" sz="2600" b="1"/>
        </a:p>
      </xdr:txBody>
    </xdr:sp>
    <xdr:clientData/>
  </xdr:oneCellAnchor>
  <xdr:oneCellAnchor>
    <xdr:from>
      <xdr:col>2</xdr:col>
      <xdr:colOff>721995</xdr:colOff>
      <xdr:row>3</xdr:row>
      <xdr:rowOff>24765</xdr:rowOff>
    </xdr:from>
    <xdr:ext cx="3138170" cy="516890"/>
    <xdr:sp>
      <xdr:nvSpPr>
        <xdr:cNvPr id="4" name="Текстовое поле 3"/>
        <xdr:cNvSpPr txBox="1"/>
      </xdr:nvSpPr>
      <xdr:spPr>
        <a:xfrm>
          <a:off x="2261870" y="573405"/>
          <a:ext cx="3138170" cy="5168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2600" b="1"/>
            <a:t>Выполненые задачи</a:t>
          </a:r>
          <a:endParaRPr lang="ru-RU" altLang="en-US" sz="2600" b="1"/>
        </a:p>
      </xdr:txBody>
    </xdr:sp>
    <xdr:clientData/>
  </xdr:oneCellAnchor>
  <xdr:oneCellAnchor>
    <xdr:from>
      <xdr:col>16</xdr:col>
      <xdr:colOff>901065</xdr:colOff>
      <xdr:row>16</xdr:row>
      <xdr:rowOff>54610</xdr:rowOff>
    </xdr:from>
    <xdr:ext cx="4206240" cy="532130"/>
    <xdr:sp>
      <xdr:nvSpPr>
        <xdr:cNvPr id="13" name="Текстовое поле 12"/>
        <xdr:cNvSpPr txBox="1"/>
      </xdr:nvSpPr>
      <xdr:spPr>
        <a:xfrm>
          <a:off x="18774410" y="3849370"/>
          <a:ext cx="4206240" cy="5321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2600" b="1"/>
            <a:t>Подчсёт баллов по неделям</a:t>
          </a:r>
          <a:endParaRPr lang="ru-RU" altLang="en-US" sz="2600" b="1"/>
        </a:p>
      </xdr:txBody>
    </xdr:sp>
    <xdr:clientData/>
  </xdr:oneCellAnchor>
  <xdr:twoCellAnchor>
    <xdr:from>
      <xdr:col>8</xdr:col>
      <xdr:colOff>260350</xdr:colOff>
      <xdr:row>31</xdr:row>
      <xdr:rowOff>67945</xdr:rowOff>
    </xdr:from>
    <xdr:to>
      <xdr:col>27</xdr:col>
      <xdr:colOff>434340</xdr:colOff>
      <xdr:row>68</xdr:row>
      <xdr:rowOff>93345</xdr:rowOff>
    </xdr:to>
    <xdr:graphicFrame>
      <xdr:nvGraphicFramePr>
        <xdr:cNvPr id="5" name="Диаграмма 4"/>
        <xdr:cNvGraphicFramePr/>
      </xdr:nvGraphicFramePr>
      <xdr:xfrm>
        <a:off x="12198350" y="7063105"/>
        <a:ext cx="14491335" cy="679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G30"/>
  <sheetViews>
    <sheetView tabSelected="1" zoomScale="55" zoomScaleNormal="55" zoomScaleSheetLayoutView="60" topLeftCell="C4" workbookViewId="0">
      <selection activeCell="F25" sqref="F25"/>
    </sheetView>
  </sheetViews>
  <sheetFormatPr defaultColWidth="10" defaultRowHeight="14.4"/>
  <cols>
    <col min="1" max="1" width="11.6666666666667" customWidth="1"/>
    <col min="2" max="2" width="10.787037037037" customWidth="1"/>
    <col min="3" max="3" width="64.9166666666667" customWidth="1"/>
    <col min="4" max="4" width="20.1481481481481" customWidth="1"/>
    <col min="5" max="5" width="17.6203703703704" customWidth="1"/>
    <col min="6" max="6" width="28.0925925925926" customWidth="1"/>
    <col min="8" max="8" width="10.8425925925926" customWidth="1"/>
    <col min="9" max="9" width="15.5462962962963" customWidth="1"/>
    <col min="16" max="16" width="11" customWidth="1"/>
    <col min="17" max="17" width="22.2222222222222" customWidth="1"/>
  </cols>
  <sheetData>
    <row r="6" ht="18" spans="1:20">
      <c r="B6" s="1"/>
      <c r="C6" s="1"/>
      <c r="D6" s="2">
        <v>1.5</v>
      </c>
      <c r="E6" s="3">
        <v>2</v>
      </c>
      <c r="F6" s="4">
        <v>0.5</v>
      </c>
      <c r="G6" s="1"/>
    </row>
    <row r="7" ht="18" spans="1:20">
      <c r="A7" s="5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R7" s="4">
        <v>1.2</v>
      </c>
      <c r="S7" s="4">
        <v>1</v>
      </c>
      <c r="T7" s="4">
        <v>0.8</v>
      </c>
    </row>
    <row r="8" ht="18" spans="1:20">
      <c r="A8" s="6">
        <v>1</v>
      </c>
      <c r="B8" s="6" t="s">
        <v>7</v>
      </c>
      <c r="C8" s="7" t="s">
        <v>8</v>
      </c>
      <c r="D8" s="6">
        <v>10</v>
      </c>
      <c r="E8" s="6">
        <v>10</v>
      </c>
      <c r="F8" s="6">
        <v>4</v>
      </c>
      <c r="G8" s="6">
        <f t="shared" ref="G8:G11" si="0">SUM(D8*$D$6,E8*$E$6,F8*$F$6)</f>
        <v>37</v>
      </c>
      <c r="I8" s="8" t="s">
        <v>7</v>
      </c>
      <c r="J8" s="8" t="s">
        <v>9</v>
      </c>
      <c r="K8" s="8" t="s">
        <v>10</v>
      </c>
      <c r="L8" s="8" t="s">
        <v>11</v>
      </c>
      <c r="M8" s="8" t="s">
        <v>12</v>
      </c>
      <c r="N8" s="8" t="s">
        <v>13</v>
      </c>
      <c r="O8" s="8" t="s">
        <v>14</v>
      </c>
      <c r="P8" s="8" t="s">
        <v>15</v>
      </c>
      <c r="Q8" s="8" t="s">
        <v>16</v>
      </c>
      <c r="R8" s="8" t="s">
        <v>17</v>
      </c>
      <c r="S8" s="8" t="s">
        <v>18</v>
      </c>
      <c r="T8" s="8" t="s">
        <v>19</v>
      </c>
    </row>
    <row r="9" ht="54" spans="1:20">
      <c r="A9" s="6">
        <v>1</v>
      </c>
      <c r="B9" s="6" t="s">
        <v>9</v>
      </c>
      <c r="C9" s="9" t="s">
        <v>20</v>
      </c>
      <c r="D9" s="6">
        <v>7</v>
      </c>
      <c r="E9" s="6">
        <v>3</v>
      </c>
      <c r="F9" s="6">
        <v>6</v>
      </c>
      <c r="G9" s="6">
        <f t="shared" si="0"/>
        <v>19.5</v>
      </c>
      <c r="I9" s="10">
        <f>SUMIF($B$8:$B$2000,I8,$G8:$G$2000)</f>
        <v>59.5</v>
      </c>
      <c r="J9" s="10">
        <f>SUMIF($B$8:$B$2000,J8,$G8:$G$2000)</f>
        <v>43.5</v>
      </c>
      <c r="K9" s="10">
        <f>SUMIF($B$8:$B$2000,K8,$G8:$G$2000)</f>
        <v>0</v>
      </c>
      <c r="L9" s="10">
        <f>SUMIF($B$8:$B$2000,L8,$G8:$G$2000)</f>
        <v>0</v>
      </c>
      <c r="M9" s="10">
        <f>SUMIF($B$8:$B$2000,M8,$G8:$G$2000)</f>
        <v>0</v>
      </c>
      <c r="N9" s="10">
        <f>SUMIF($B$8:$B$2000,N8,$G8:$G$2000)</f>
        <v>0</v>
      </c>
      <c r="O9" s="10">
        <f>SUMIF($B$8:$B$2000,O8,$G8:$G$2000)</f>
        <v>0</v>
      </c>
      <c r="P9" s="10">
        <f>SUMIF($B$8:$B$2000,P8,$G8:$G$2000)</f>
        <v>0</v>
      </c>
      <c r="Q9" s="10">
        <f>AVERAGE(I9:P9)</f>
        <v>12.875</v>
      </c>
      <c r="R9" s="10">
        <f>Q9*R7</f>
        <v>15.45</v>
      </c>
      <c r="S9" s="10">
        <f>Q9*S7</f>
        <v>12.875</v>
      </c>
      <c r="T9" s="10">
        <f>Q9*T7</f>
        <v>10.3</v>
      </c>
    </row>
    <row r="10" ht="18" spans="1:20">
      <c r="A10" s="6">
        <v>2</v>
      </c>
      <c r="B10" s="6" t="s">
        <v>7</v>
      </c>
      <c r="C10" s="7" t="s">
        <v>21</v>
      </c>
      <c r="D10" s="6">
        <v>4</v>
      </c>
      <c r="E10" s="6">
        <v>7</v>
      </c>
      <c r="F10" s="6">
        <v>5</v>
      </c>
      <c r="G10" s="6">
        <f t="shared" si="0"/>
        <v>22.5</v>
      </c>
    </row>
    <row r="11" ht="18" spans="1:20">
      <c r="A11" s="6">
        <v>2</v>
      </c>
      <c r="B11" s="6" t="s">
        <v>9</v>
      </c>
      <c r="C11" s="7" t="s">
        <v>22</v>
      </c>
      <c r="D11" s="6">
        <v>7</v>
      </c>
      <c r="E11" s="6">
        <v>6</v>
      </c>
      <c r="F11" s="6">
        <v>3</v>
      </c>
      <c r="G11" s="6">
        <f t="shared" si="0"/>
        <v>24</v>
      </c>
    </row>
    <row r="14" ht="18" spans="1:20">
      <c r="D14" s="11"/>
    </row>
    <row r="15" ht="18" spans="1:20">
      <c r="I15" s="12" t="s">
        <v>7</v>
      </c>
      <c r="J15" s="12" t="s">
        <v>9</v>
      </c>
      <c r="K15" s="12" t="s">
        <v>10</v>
      </c>
      <c r="L15" s="12" t="s">
        <v>11</v>
      </c>
      <c r="M15" s="12" t="s">
        <v>12</v>
      </c>
      <c r="N15" s="12" t="s">
        <v>13</v>
      </c>
      <c r="O15" s="12" t="s">
        <v>14</v>
      </c>
      <c r="P15" s="12" t="s">
        <v>15</v>
      </c>
    </row>
    <row r="16" ht="18" spans="1:20">
      <c r="I16" s="13">
        <f>IF(I9&lt;=$T$9,3,IF(I9&lt;=$S$9,4,5))</f>
        <v>5</v>
      </c>
      <c r="J16" s="13">
        <f>IF(J9&lt;=$T$9,3,IF(J9&lt;=$S$9,4,5))</f>
        <v>5</v>
      </c>
      <c r="K16" s="13">
        <f t="shared" ref="K16:P16" si="1">IF(K9&lt;=$T$9,3,IF(K9&lt;=$S$9,4,5))</f>
        <v>3</v>
      </c>
      <c r="L16" s="13">
        <f t="shared" si="1"/>
        <v>3</v>
      </c>
      <c r="M16" s="13">
        <f t="shared" si="1"/>
        <v>3</v>
      </c>
      <c r="N16" s="13">
        <f t="shared" si="1"/>
        <v>3</v>
      </c>
      <c r="O16" s="13">
        <f t="shared" si="1"/>
        <v>3</v>
      </c>
      <c r="P16" s="13">
        <f t="shared" si="1"/>
        <v>3</v>
      </c>
    </row>
    <row r="21" ht="18" spans="9:33">
      <c r="I21" s="14" t="s">
        <v>23</v>
      </c>
      <c r="J21" s="14">
        <v>1</v>
      </c>
      <c r="K21" s="14">
        <v>2</v>
      </c>
      <c r="L21" s="14">
        <v>3</v>
      </c>
      <c r="M21" s="14">
        <v>4</v>
      </c>
      <c r="N21" s="14">
        <v>5</v>
      </c>
      <c r="O21" s="14">
        <v>6</v>
      </c>
      <c r="P21" s="14">
        <v>7</v>
      </c>
      <c r="Q21" s="14">
        <v>8</v>
      </c>
      <c r="R21" s="14">
        <v>9</v>
      </c>
      <c r="S21" s="14">
        <v>10</v>
      </c>
      <c r="T21" s="14">
        <v>11</v>
      </c>
      <c r="U21" s="14">
        <v>12</v>
      </c>
      <c r="V21" s="14">
        <v>13</v>
      </c>
      <c r="W21" s="14">
        <v>14</v>
      </c>
      <c r="X21" s="14">
        <v>15</v>
      </c>
      <c r="Y21" s="14">
        <v>16</v>
      </c>
      <c r="Z21" s="14">
        <v>17</v>
      </c>
      <c r="AA21" s="14">
        <v>18</v>
      </c>
      <c r="AB21" s="14">
        <v>19</v>
      </c>
      <c r="AC21" s="14">
        <v>20</v>
      </c>
      <c r="AD21" s="14">
        <v>21</v>
      </c>
      <c r="AE21" s="14">
        <v>22</v>
      </c>
      <c r="AF21" s="14">
        <v>23</v>
      </c>
      <c r="AG21" s="14">
        <v>24</v>
      </c>
    </row>
    <row r="22" ht="18" spans="9:33">
      <c r="I22" s="14" t="s">
        <v>7</v>
      </c>
      <c r="J22" s="15">
        <f>SUMIFS($G$8:$G$2000,$A$8:$A$2000,J$21,$B$8:$B$2000,$I22)</f>
        <v>37</v>
      </c>
      <c r="K22" s="15">
        <f>SUMIFS($G$8:$G$2000,$A$8:$A$2000,K$21,$B$8:$B$2000,$I22)</f>
        <v>22.5</v>
      </c>
      <c r="L22" s="15">
        <f>SUMIFS($G$8:$G$2000,$A$8:$A$2000,L$21,$B$8:$B$2000,$I22)</f>
        <v>0</v>
      </c>
      <c r="M22" s="15">
        <f t="shared" ref="M22:AG22" si="2">SUMIFS($G$8:$G$2000,$A$8:$A$2000,M$21,$B$8:$B$2000,$I22)</f>
        <v>0</v>
      </c>
      <c r="N22" s="15">
        <f t="shared" si="2"/>
        <v>0</v>
      </c>
      <c r="O22" s="15">
        <f t="shared" si="2"/>
        <v>0</v>
      </c>
      <c r="P22" s="15">
        <f t="shared" si="2"/>
        <v>0</v>
      </c>
      <c r="Q22" s="15">
        <f t="shared" si="2"/>
        <v>0</v>
      </c>
      <c r="R22" s="15">
        <f t="shared" si="2"/>
        <v>0</v>
      </c>
      <c r="S22" s="15">
        <f t="shared" si="2"/>
        <v>0</v>
      </c>
      <c r="T22" s="15">
        <f t="shared" si="2"/>
        <v>0</v>
      </c>
      <c r="U22" s="15">
        <f t="shared" si="2"/>
        <v>0</v>
      </c>
      <c r="V22" s="15">
        <f t="shared" si="2"/>
        <v>0</v>
      </c>
      <c r="W22" s="15">
        <f t="shared" si="2"/>
        <v>0</v>
      </c>
      <c r="X22" s="15">
        <f t="shared" si="2"/>
        <v>0</v>
      </c>
      <c r="Y22" s="15">
        <f t="shared" si="2"/>
        <v>0</v>
      </c>
      <c r="Z22" s="15">
        <f t="shared" si="2"/>
        <v>0</v>
      </c>
      <c r="AA22" s="15">
        <f t="shared" si="2"/>
        <v>0</v>
      </c>
      <c r="AB22" s="15">
        <f t="shared" si="2"/>
        <v>0</v>
      </c>
      <c r="AC22" s="15">
        <f t="shared" si="2"/>
        <v>0</v>
      </c>
      <c r="AD22" s="15">
        <f t="shared" si="2"/>
        <v>0</v>
      </c>
      <c r="AE22" s="15">
        <f t="shared" si="2"/>
        <v>0</v>
      </c>
      <c r="AF22" s="15">
        <f t="shared" si="2"/>
        <v>0</v>
      </c>
      <c r="AG22" s="15">
        <f t="shared" si="2"/>
        <v>0</v>
      </c>
    </row>
    <row r="23" ht="18" spans="9:33">
      <c r="I23" s="14" t="s">
        <v>9</v>
      </c>
      <c r="J23" s="15">
        <f>SUMIFS($G$8:$G$2000,$A$8:$A$2000,J$21,$B$8:$B$2000,$I23)</f>
        <v>19.5</v>
      </c>
      <c r="K23" s="15">
        <f>SUMIFS($G$8:$G$2000,$A$8:$A$2000,K$21,$B$8:$B$2000,$I23)</f>
        <v>24</v>
      </c>
      <c r="L23" s="15">
        <f>SUMIFS($G$8:$G$2000,$A$8:$A$2000,L$21,$B$8:$B$2000,$I23)</f>
        <v>0</v>
      </c>
      <c r="M23" s="15">
        <f t="shared" ref="M23:AG23" si="3">SUMIFS($G$8:$G$2000,$A$8:$A$2000,M$21,$B$8:$B$2000,$I23)</f>
        <v>0</v>
      </c>
      <c r="N23" s="15">
        <f t="shared" si="3"/>
        <v>0</v>
      </c>
      <c r="O23" s="15">
        <f t="shared" si="3"/>
        <v>0</v>
      </c>
      <c r="P23" s="15">
        <f t="shared" si="3"/>
        <v>0</v>
      </c>
      <c r="Q23" s="15">
        <f t="shared" si="3"/>
        <v>0</v>
      </c>
      <c r="R23" s="15">
        <f t="shared" si="3"/>
        <v>0</v>
      </c>
      <c r="S23" s="15">
        <f t="shared" si="3"/>
        <v>0</v>
      </c>
      <c r="T23" s="15">
        <f t="shared" si="3"/>
        <v>0</v>
      </c>
      <c r="U23" s="15">
        <f t="shared" si="3"/>
        <v>0</v>
      </c>
      <c r="V23" s="15">
        <f t="shared" si="3"/>
        <v>0</v>
      </c>
      <c r="W23" s="15">
        <f t="shared" si="3"/>
        <v>0</v>
      </c>
      <c r="X23" s="15">
        <f t="shared" si="3"/>
        <v>0</v>
      </c>
      <c r="Y23" s="15">
        <f t="shared" si="3"/>
        <v>0</v>
      </c>
      <c r="Z23" s="15">
        <f t="shared" si="3"/>
        <v>0</v>
      </c>
      <c r="AA23" s="15">
        <f t="shared" si="3"/>
        <v>0</v>
      </c>
      <c r="AB23" s="15">
        <f t="shared" si="3"/>
        <v>0</v>
      </c>
      <c r="AC23" s="15">
        <f t="shared" si="3"/>
        <v>0</v>
      </c>
      <c r="AD23" s="15">
        <f t="shared" si="3"/>
        <v>0</v>
      </c>
      <c r="AE23" s="15">
        <f t="shared" si="3"/>
        <v>0</v>
      </c>
      <c r="AF23" s="15">
        <f t="shared" si="3"/>
        <v>0</v>
      </c>
      <c r="AG23" s="15">
        <f t="shared" si="3"/>
        <v>0</v>
      </c>
    </row>
    <row r="24" ht="18" spans="9:33">
      <c r="I24" s="14" t="s">
        <v>10</v>
      </c>
      <c r="J24" s="15">
        <f>SUMIFS($G$8:$G$2000,$A$8:$A$2000,J$21,$B$8:$B$2000,$I24)</f>
        <v>0</v>
      </c>
      <c r="K24" s="15">
        <f>SUMIFS($G$8:$G$2000,$A$8:$A$2000,K$21,$B$8:$B$2000,$I24)</f>
        <v>0</v>
      </c>
      <c r="L24" s="15">
        <f>SUMIFS($G$8:$G$2000,$A$8:$A$2000,L$21,$B$8:$B$2000,$I24)</f>
        <v>0</v>
      </c>
      <c r="M24" s="15">
        <f t="shared" ref="M24:AG24" si="4">SUMIFS($G$8:$G$2000,$A$8:$A$2000,M$21,$B$8:$B$2000,$I24)</f>
        <v>0</v>
      </c>
      <c r="N24" s="15">
        <f t="shared" si="4"/>
        <v>0</v>
      </c>
      <c r="O24" s="15">
        <f t="shared" si="4"/>
        <v>0</v>
      </c>
      <c r="P24" s="15">
        <f t="shared" si="4"/>
        <v>0</v>
      </c>
      <c r="Q24" s="15">
        <f t="shared" si="4"/>
        <v>0</v>
      </c>
      <c r="R24" s="15">
        <f t="shared" si="4"/>
        <v>0</v>
      </c>
      <c r="S24" s="15">
        <f t="shared" si="4"/>
        <v>0</v>
      </c>
      <c r="T24" s="15">
        <f t="shared" si="4"/>
        <v>0</v>
      </c>
      <c r="U24" s="15">
        <f t="shared" si="4"/>
        <v>0</v>
      </c>
      <c r="V24" s="15">
        <f t="shared" si="4"/>
        <v>0</v>
      </c>
      <c r="W24" s="15">
        <f t="shared" si="4"/>
        <v>0</v>
      </c>
      <c r="X24" s="15">
        <f t="shared" si="4"/>
        <v>0</v>
      </c>
      <c r="Y24" s="15">
        <f t="shared" si="4"/>
        <v>0</v>
      </c>
      <c r="Z24" s="15">
        <f t="shared" si="4"/>
        <v>0</v>
      </c>
      <c r="AA24" s="15">
        <f t="shared" si="4"/>
        <v>0</v>
      </c>
      <c r="AB24" s="15">
        <f t="shared" si="4"/>
        <v>0</v>
      </c>
      <c r="AC24" s="15">
        <f t="shared" si="4"/>
        <v>0</v>
      </c>
      <c r="AD24" s="15">
        <f t="shared" si="4"/>
        <v>0</v>
      </c>
      <c r="AE24" s="15">
        <f t="shared" si="4"/>
        <v>0</v>
      </c>
      <c r="AF24" s="15">
        <f t="shared" si="4"/>
        <v>0</v>
      </c>
      <c r="AG24" s="15">
        <f t="shared" si="4"/>
        <v>0</v>
      </c>
    </row>
    <row r="25" ht="18" spans="9:33">
      <c r="I25" s="14" t="s">
        <v>11</v>
      </c>
      <c r="J25" s="15">
        <f>SUMIFS($G$8:$G$2000,$A$8:$A$2000,J$21,$B$8:$B$2000,$I25)</f>
        <v>0</v>
      </c>
      <c r="K25" s="15">
        <f>SUMIFS($G$8:$G$2000,$A$8:$A$2000,K$21,$B$8:$B$2000,$I25)</f>
        <v>0</v>
      </c>
      <c r="L25" s="15">
        <f>SUMIFS($G$8:$G$2000,$A$8:$A$2000,L$21,$B$8:$B$2000,$I25)</f>
        <v>0</v>
      </c>
      <c r="M25" s="15">
        <f t="shared" ref="M25:AG25" si="5">SUMIFS($G$8:$G$2000,$A$8:$A$2000,M$21,$B$8:$B$2000,$I25)</f>
        <v>0</v>
      </c>
      <c r="N25" s="15">
        <f t="shared" si="5"/>
        <v>0</v>
      </c>
      <c r="O25" s="15">
        <f t="shared" si="5"/>
        <v>0</v>
      </c>
      <c r="P25" s="15">
        <f t="shared" si="5"/>
        <v>0</v>
      </c>
      <c r="Q25" s="15">
        <f t="shared" si="5"/>
        <v>0</v>
      </c>
      <c r="R25" s="15">
        <f t="shared" si="5"/>
        <v>0</v>
      </c>
      <c r="S25" s="15">
        <f t="shared" si="5"/>
        <v>0</v>
      </c>
      <c r="T25" s="15">
        <f t="shared" si="5"/>
        <v>0</v>
      </c>
      <c r="U25" s="15">
        <f t="shared" si="5"/>
        <v>0</v>
      </c>
      <c r="V25" s="15">
        <f t="shared" si="5"/>
        <v>0</v>
      </c>
      <c r="W25" s="15">
        <f t="shared" si="5"/>
        <v>0</v>
      </c>
      <c r="X25" s="15">
        <f t="shared" si="5"/>
        <v>0</v>
      </c>
      <c r="Y25" s="15">
        <f t="shared" si="5"/>
        <v>0</v>
      </c>
      <c r="Z25" s="15">
        <f t="shared" si="5"/>
        <v>0</v>
      </c>
      <c r="AA25" s="15">
        <f t="shared" si="5"/>
        <v>0</v>
      </c>
      <c r="AB25" s="15">
        <f t="shared" si="5"/>
        <v>0</v>
      </c>
      <c r="AC25" s="15">
        <f t="shared" si="5"/>
        <v>0</v>
      </c>
      <c r="AD25" s="15">
        <f t="shared" si="5"/>
        <v>0</v>
      </c>
      <c r="AE25" s="15">
        <f t="shared" si="5"/>
        <v>0</v>
      </c>
      <c r="AF25" s="15">
        <f t="shared" si="5"/>
        <v>0</v>
      </c>
      <c r="AG25" s="15">
        <f t="shared" si="5"/>
        <v>0</v>
      </c>
    </row>
    <row r="26" ht="18" spans="9:33">
      <c r="I26" s="14" t="s">
        <v>12</v>
      </c>
      <c r="J26" s="15">
        <f t="shared" ref="J26:AG26" si="6">SUMIFS($G$8:$G$2000,$A$8:$A$2000,J$21,$B$8:$B$2000,$I26)</f>
        <v>0</v>
      </c>
      <c r="K26" s="15">
        <f t="shared" si="6"/>
        <v>0</v>
      </c>
      <c r="L26" s="15">
        <f t="shared" si="6"/>
        <v>0</v>
      </c>
      <c r="M26" s="15">
        <f t="shared" si="6"/>
        <v>0</v>
      </c>
      <c r="N26" s="15">
        <f t="shared" si="6"/>
        <v>0</v>
      </c>
      <c r="O26" s="15">
        <f t="shared" si="6"/>
        <v>0</v>
      </c>
      <c r="P26" s="15">
        <f t="shared" si="6"/>
        <v>0</v>
      </c>
      <c r="Q26" s="15">
        <f t="shared" si="6"/>
        <v>0</v>
      </c>
      <c r="R26" s="15">
        <f t="shared" si="6"/>
        <v>0</v>
      </c>
      <c r="S26" s="15">
        <f t="shared" si="6"/>
        <v>0</v>
      </c>
      <c r="T26" s="15">
        <f t="shared" si="6"/>
        <v>0</v>
      </c>
      <c r="U26" s="15">
        <f t="shared" si="6"/>
        <v>0</v>
      </c>
      <c r="V26" s="15">
        <f t="shared" si="6"/>
        <v>0</v>
      </c>
      <c r="W26" s="15">
        <f t="shared" si="6"/>
        <v>0</v>
      </c>
      <c r="X26" s="15">
        <f t="shared" si="6"/>
        <v>0</v>
      </c>
      <c r="Y26" s="15">
        <f t="shared" si="6"/>
        <v>0</v>
      </c>
      <c r="Z26" s="15">
        <f t="shared" si="6"/>
        <v>0</v>
      </c>
      <c r="AA26" s="15">
        <f t="shared" si="6"/>
        <v>0</v>
      </c>
      <c r="AB26" s="15">
        <f t="shared" si="6"/>
        <v>0</v>
      </c>
      <c r="AC26" s="15">
        <f t="shared" si="6"/>
        <v>0</v>
      </c>
      <c r="AD26" s="15">
        <f t="shared" si="6"/>
        <v>0</v>
      </c>
      <c r="AE26" s="15">
        <f t="shared" si="6"/>
        <v>0</v>
      </c>
      <c r="AF26" s="15">
        <f t="shared" si="6"/>
        <v>0</v>
      </c>
      <c r="AG26" s="15">
        <f t="shared" si="6"/>
        <v>0</v>
      </c>
    </row>
    <row r="27" ht="18" spans="9:33">
      <c r="I27" s="14" t="s">
        <v>13</v>
      </c>
      <c r="J27" s="15">
        <f t="shared" ref="J27:AG27" si="7">SUMIFS($G$8:$G$2000,$A$8:$A$2000,J$21,$B$8:$B$2000,$I27)</f>
        <v>0</v>
      </c>
      <c r="K27" s="15">
        <f t="shared" si="7"/>
        <v>0</v>
      </c>
      <c r="L27" s="15">
        <f t="shared" si="7"/>
        <v>0</v>
      </c>
      <c r="M27" s="15">
        <f t="shared" si="7"/>
        <v>0</v>
      </c>
      <c r="N27" s="15">
        <f t="shared" si="7"/>
        <v>0</v>
      </c>
      <c r="O27" s="15">
        <f t="shared" si="7"/>
        <v>0</v>
      </c>
      <c r="P27" s="15">
        <f t="shared" si="7"/>
        <v>0</v>
      </c>
      <c r="Q27" s="15">
        <f t="shared" si="7"/>
        <v>0</v>
      </c>
      <c r="R27" s="15">
        <f t="shared" si="7"/>
        <v>0</v>
      </c>
      <c r="S27" s="15">
        <f t="shared" si="7"/>
        <v>0</v>
      </c>
      <c r="T27" s="15">
        <f t="shared" si="7"/>
        <v>0</v>
      </c>
      <c r="U27" s="15">
        <f t="shared" si="7"/>
        <v>0</v>
      </c>
      <c r="V27" s="15">
        <f t="shared" si="7"/>
        <v>0</v>
      </c>
      <c r="W27" s="15">
        <f t="shared" si="7"/>
        <v>0</v>
      </c>
      <c r="X27" s="15">
        <f t="shared" si="7"/>
        <v>0</v>
      </c>
      <c r="Y27" s="15">
        <f t="shared" si="7"/>
        <v>0</v>
      </c>
      <c r="Z27" s="15">
        <f t="shared" si="7"/>
        <v>0</v>
      </c>
      <c r="AA27" s="15">
        <f t="shared" si="7"/>
        <v>0</v>
      </c>
      <c r="AB27" s="15">
        <f t="shared" si="7"/>
        <v>0</v>
      </c>
      <c r="AC27" s="15">
        <f t="shared" si="7"/>
        <v>0</v>
      </c>
      <c r="AD27" s="15">
        <f t="shared" si="7"/>
        <v>0</v>
      </c>
      <c r="AE27" s="15">
        <f t="shared" si="7"/>
        <v>0</v>
      </c>
      <c r="AF27" s="15">
        <f t="shared" si="7"/>
        <v>0</v>
      </c>
      <c r="AG27" s="15">
        <f t="shared" si="7"/>
        <v>0</v>
      </c>
    </row>
    <row r="28" ht="18" spans="9:33">
      <c r="I28" s="14" t="s">
        <v>14</v>
      </c>
      <c r="J28" s="15">
        <f t="shared" ref="J28:AG28" si="8">SUMIFS($G$8:$G$2000,$A$8:$A$2000,J$21,$B$8:$B$2000,$I28)</f>
        <v>0</v>
      </c>
      <c r="K28" s="15">
        <f t="shared" si="8"/>
        <v>0</v>
      </c>
      <c r="L28" s="15">
        <f t="shared" si="8"/>
        <v>0</v>
      </c>
      <c r="M28" s="15">
        <f t="shared" si="8"/>
        <v>0</v>
      </c>
      <c r="N28" s="15">
        <f t="shared" si="8"/>
        <v>0</v>
      </c>
      <c r="O28" s="15">
        <f t="shared" si="8"/>
        <v>0</v>
      </c>
      <c r="P28" s="15">
        <f t="shared" si="8"/>
        <v>0</v>
      </c>
      <c r="Q28" s="15">
        <f t="shared" si="8"/>
        <v>0</v>
      </c>
      <c r="R28" s="15">
        <f t="shared" si="8"/>
        <v>0</v>
      </c>
      <c r="S28" s="15">
        <f t="shared" si="8"/>
        <v>0</v>
      </c>
      <c r="T28" s="15">
        <f t="shared" si="8"/>
        <v>0</v>
      </c>
      <c r="U28" s="15">
        <f t="shared" si="8"/>
        <v>0</v>
      </c>
      <c r="V28" s="15">
        <f t="shared" si="8"/>
        <v>0</v>
      </c>
      <c r="W28" s="15">
        <f t="shared" si="8"/>
        <v>0</v>
      </c>
      <c r="X28" s="15">
        <f t="shared" si="8"/>
        <v>0</v>
      </c>
      <c r="Y28" s="15">
        <f t="shared" si="8"/>
        <v>0</v>
      </c>
      <c r="Z28" s="15">
        <f t="shared" si="8"/>
        <v>0</v>
      </c>
      <c r="AA28" s="15">
        <f t="shared" si="8"/>
        <v>0</v>
      </c>
      <c r="AB28" s="15">
        <f t="shared" si="8"/>
        <v>0</v>
      </c>
      <c r="AC28" s="15">
        <f t="shared" si="8"/>
        <v>0</v>
      </c>
      <c r="AD28" s="15">
        <f t="shared" si="8"/>
        <v>0</v>
      </c>
      <c r="AE28" s="15">
        <f t="shared" si="8"/>
        <v>0</v>
      </c>
      <c r="AF28" s="15">
        <f t="shared" si="8"/>
        <v>0</v>
      </c>
      <c r="AG28" s="15">
        <f t="shared" si="8"/>
        <v>0</v>
      </c>
    </row>
    <row r="29" ht="18" spans="9:33">
      <c r="I29" s="14" t="s">
        <v>15</v>
      </c>
      <c r="J29" s="15">
        <f t="shared" ref="J29:AG29" si="9">SUMIFS($G$8:$G$2000,$A$8:$A$2000,J$21,$B$8:$B$2000,$I29)</f>
        <v>0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f t="shared" si="9"/>
        <v>0</v>
      </c>
      <c r="S29" s="15">
        <f t="shared" si="9"/>
        <v>0</v>
      </c>
      <c r="T29" s="15">
        <f t="shared" si="9"/>
        <v>0</v>
      </c>
      <c r="U29" s="15">
        <f t="shared" si="9"/>
        <v>0</v>
      </c>
      <c r="V29" s="15">
        <f t="shared" si="9"/>
        <v>0</v>
      </c>
      <c r="W29" s="15">
        <f t="shared" si="9"/>
        <v>0</v>
      </c>
      <c r="X29" s="15">
        <f t="shared" si="9"/>
        <v>0</v>
      </c>
      <c r="Y29" s="15">
        <f t="shared" si="9"/>
        <v>0</v>
      </c>
      <c r="Z29" s="15">
        <f t="shared" si="9"/>
        <v>0</v>
      </c>
      <c r="AA29" s="15">
        <f t="shared" si="9"/>
        <v>0</v>
      </c>
      <c r="AB29" s="15">
        <f t="shared" si="9"/>
        <v>0</v>
      </c>
      <c r="AC29" s="15">
        <f t="shared" si="9"/>
        <v>0</v>
      </c>
      <c r="AD29" s="15">
        <f t="shared" si="9"/>
        <v>0</v>
      </c>
      <c r="AE29" s="15">
        <f t="shared" si="9"/>
        <v>0</v>
      </c>
      <c r="AF29" s="15">
        <f t="shared" si="9"/>
        <v>0</v>
      </c>
      <c r="AG29" s="15">
        <f t="shared" si="9"/>
        <v>0</v>
      </c>
    </row>
    <row r="30" ht="18" spans="9:33">
      <c r="I30" s="14" t="s">
        <v>24</v>
      </c>
      <c r="J30" s="15">
        <f>AVERAGE(J22:J29)</f>
        <v>7.0625</v>
      </c>
      <c r="K30" s="15">
        <f t="shared" ref="K30:AG30" si="10">AVERAGE(K22:K29)</f>
        <v>5.8125</v>
      </c>
      <c r="L30" s="15">
        <f t="shared" si="10"/>
        <v>0</v>
      </c>
      <c r="M30" s="15">
        <f t="shared" si="10"/>
        <v>0</v>
      </c>
      <c r="N30" s="15">
        <f t="shared" si="10"/>
        <v>0</v>
      </c>
      <c r="O30" s="15">
        <f t="shared" si="10"/>
        <v>0</v>
      </c>
      <c r="P30" s="15">
        <f t="shared" si="10"/>
        <v>0</v>
      </c>
      <c r="Q30" s="15">
        <f t="shared" si="10"/>
        <v>0</v>
      </c>
      <c r="R30" s="15">
        <f t="shared" si="10"/>
        <v>0</v>
      </c>
      <c r="S30" s="15">
        <f t="shared" si="10"/>
        <v>0</v>
      </c>
      <c r="T30" s="15">
        <f t="shared" si="10"/>
        <v>0</v>
      </c>
      <c r="U30" s="15">
        <f t="shared" si="10"/>
        <v>0</v>
      </c>
      <c r="V30" s="15">
        <f t="shared" si="10"/>
        <v>0</v>
      </c>
      <c r="W30" s="15">
        <f t="shared" si="10"/>
        <v>0</v>
      </c>
      <c r="X30" s="15">
        <f t="shared" si="10"/>
        <v>0</v>
      </c>
      <c r="Y30" s="15">
        <f t="shared" si="10"/>
        <v>0</v>
      </c>
      <c r="Z30" s="15">
        <f t="shared" si="10"/>
        <v>0</v>
      </c>
      <c r="AA30" s="15">
        <f t="shared" si="10"/>
        <v>0</v>
      </c>
      <c r="AB30" s="15">
        <f t="shared" si="10"/>
        <v>0</v>
      </c>
      <c r="AC30" s="15">
        <f t="shared" si="10"/>
        <v>0</v>
      </c>
      <c r="AD30" s="15">
        <f t="shared" si="10"/>
        <v>0</v>
      </c>
      <c r="AE30" s="15">
        <f t="shared" si="10"/>
        <v>0</v>
      </c>
      <c r="AF30" s="15">
        <f t="shared" si="10"/>
        <v>0</v>
      </c>
      <c r="AG30" s="15">
        <f t="shared" si="10"/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Оценка_команды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2026-04-30T13:04:00Z</dcterms:created>
  <dcterms:modified xsi:type="dcterms:W3CDTF">2026-05-05T06:49:04Z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BCF701ADB8504F3D82C53332F1AA3348_13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